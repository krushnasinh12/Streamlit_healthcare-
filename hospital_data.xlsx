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atients by Outcome"/>
    <sheet r:id="rId2" sheetId="2" name="Payment Method Analysis"/>
    <sheet r:id="rId3" sheetId="3" name="patients"/>
    <sheet r:id="rId4" sheetId="4" name="diagnosis"/>
    <sheet r:id="rId5" sheetId="5" name="outcomes"/>
  </sheets>
  <calcPr fullCalcOnLoad="1"/>
</workbook>
</file>

<file path=xl/sharedStrings.xml><?xml version="1.0" encoding="utf-8"?>
<sst xmlns="http://schemas.openxmlformats.org/spreadsheetml/2006/main" count="2923" uniqueCount="961">
  <si>
    <t>OutcomeID</t>
  </si>
  <si>
    <t>OutcomeName</t>
  </si>
  <si>
    <t>Recovered</t>
  </si>
  <si>
    <t>Complicated</t>
  </si>
  <si>
    <t>Deceased</t>
  </si>
  <si>
    <t>DiagnosisID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</si>
  <si>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</si>
  <si>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</si>
  <si>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</si>
  <si>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</si>
  <si>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</si>
  <si>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</si>
  <si>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</si>
  <si>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</si>
  <si>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</si>
  <si>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</si>
  <si>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</si>
  <si>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PatientID</t>
  </si>
  <si>
    <t>Name</t>
  </si>
  <si>
    <t>Age</t>
  </si>
  <si>
    <t>Gender</t>
  </si>
  <si>
    <t>AdmissionDate</t>
  </si>
  <si>
    <t>DischargeDate</t>
  </si>
  <si>
    <t>diagnosis name</t>
  </si>
  <si>
    <t>outcomes name</t>
  </si>
  <si>
    <t>Length of Stay</t>
  </si>
  <si>
    <t>Risk score</t>
  </si>
  <si>
    <t>TreatmentCost</t>
  </si>
  <si>
    <t>PaymentMethod</t>
  </si>
  <si>
    <t>Vihaan Sharma</t>
  </si>
  <si>
    <t>M</t>
  </si>
  <si>
    <t>17-07-2024</t>
  </si>
  <si>
    <t>25-07-2024</t>
  </si>
  <si>
    <t>High Risk</t>
  </si>
  <si>
    <t>Insurance</t>
  </si>
  <si>
    <t>Riya Patel</t>
  </si>
  <si>
    <t>14-05-2025</t>
  </si>
  <si>
    <t>16-05-2025</t>
  </si>
  <si>
    <t>Low Risk</t>
  </si>
  <si>
    <t>Cash</t>
  </si>
  <si>
    <t>Sneha Sharma</t>
  </si>
  <si>
    <t>12-02-2024</t>
  </si>
  <si>
    <t>01-03-2024</t>
  </si>
  <si>
    <t>Aarav Gupta</t>
  </si>
  <si>
    <t>15-05-2025</t>
  </si>
  <si>
    <t>26-05-2025</t>
  </si>
  <si>
    <t>Aditya Desai</t>
  </si>
  <si>
    <t>F</t>
  </si>
  <si>
    <t>18-07-2023</t>
  </si>
  <si>
    <t>30-07-2023</t>
  </si>
  <si>
    <t>Online</t>
  </si>
  <si>
    <t>Riya Reddy</t>
  </si>
  <si>
    <t>14-02-2025</t>
  </si>
  <si>
    <t>17-02-2025</t>
  </si>
  <si>
    <t>Reyansh Patel</t>
  </si>
  <si>
    <t>04-04-2023</t>
  </si>
  <si>
    <t>12-04-2023</t>
  </si>
  <si>
    <t>Ishaan Kapoor</t>
  </si>
  <si>
    <t>17-01-2025</t>
  </si>
  <si>
    <t>23-01-2025</t>
  </si>
  <si>
    <t>Medium Risk</t>
  </si>
  <si>
    <t>Aditya Rao</t>
  </si>
  <si>
    <t>17-12-2023</t>
  </si>
  <si>
    <t>04-01-2024</t>
  </si>
  <si>
    <t>Riya Iyer</t>
  </si>
  <si>
    <t>26-10-2024</t>
  </si>
  <si>
    <t>28-10-2024</t>
  </si>
  <si>
    <t>Aditya Mehta</t>
  </si>
  <si>
    <t>06-10-2024</t>
  </si>
  <si>
    <t>13-10-2024</t>
  </si>
  <si>
    <t>Arjun Khan</t>
  </si>
  <si>
    <t>13-10-2023</t>
  </si>
  <si>
    <t>21-10-2023</t>
  </si>
  <si>
    <t>Saanvi Joshi</t>
  </si>
  <si>
    <t>25-03-2024</t>
  </si>
  <si>
    <t>30-03-2024</t>
  </si>
  <si>
    <t>Arjun Gupta</t>
  </si>
  <si>
    <t>03-06-2025</t>
  </si>
  <si>
    <t>Anika Khan</t>
  </si>
  <si>
    <t>24-01-2023</t>
  </si>
  <si>
    <t>28-01-2023</t>
  </si>
  <si>
    <t>Myra Gupta</t>
  </si>
  <si>
    <t>18-07-2025</t>
  </si>
  <si>
    <t>19-07-2025</t>
  </si>
  <si>
    <t>Shaurya Bose</t>
  </si>
  <si>
    <t>17-02-2024</t>
  </si>
  <si>
    <t>Sneha Yadav</t>
  </si>
  <si>
    <t>27-09-2025</t>
  </si>
  <si>
    <t>28-09-2025</t>
  </si>
  <si>
    <t>Krishna Tiwari</t>
  </si>
  <si>
    <t>11-06-2023</t>
  </si>
  <si>
    <t>14-06-2023</t>
  </si>
  <si>
    <t>Kiara Mishra</t>
  </si>
  <si>
    <t>05-12-2023</t>
  </si>
  <si>
    <t>14-12-2023</t>
  </si>
  <si>
    <t>Reyansh Singh</t>
  </si>
  <si>
    <t>28-03-2025</t>
  </si>
  <si>
    <t>09-04-2025</t>
  </si>
  <si>
    <t>Aditya Yadav</t>
  </si>
  <si>
    <t>13-02-2023</t>
  </si>
  <si>
    <t>04-03-2023</t>
  </si>
  <si>
    <t>Aditya Verma</t>
  </si>
  <si>
    <t>13-04-2024</t>
  </si>
  <si>
    <t>16-04-2024</t>
  </si>
  <si>
    <t>Ishaan Chopra</t>
  </si>
  <si>
    <t>14-03-2024</t>
  </si>
  <si>
    <t>01-04-2024</t>
  </si>
  <si>
    <t>Reyansh Reddy</t>
  </si>
  <si>
    <t>01-08-2023</t>
  </si>
  <si>
    <t>Vivaan Reddy</t>
  </si>
  <si>
    <t>05-05-2023</t>
  </si>
  <si>
    <t>18-05-2023</t>
  </si>
  <si>
    <t>Riya Kapoor</t>
  </si>
  <si>
    <t>15-10-2023</t>
  </si>
  <si>
    <t>29-10-2023</t>
  </si>
  <si>
    <t>Aadhya Mishra</t>
  </si>
  <si>
    <t>20-07-2023</t>
  </si>
  <si>
    <t>22-07-2023</t>
  </si>
  <si>
    <t>Myra Chopra</t>
  </si>
  <si>
    <t>12-09-2025</t>
  </si>
  <si>
    <t>19-09-2025</t>
  </si>
  <si>
    <t>Saanvi Khan</t>
  </si>
  <si>
    <t>20-07-2025</t>
  </si>
  <si>
    <t>30-07-2025</t>
  </si>
  <si>
    <t>Reyansh Verma</t>
  </si>
  <si>
    <t>16-05-2023</t>
  </si>
  <si>
    <t>Anika Gupta</t>
  </si>
  <si>
    <t>27-04-2023</t>
  </si>
  <si>
    <t>14-05-2023</t>
  </si>
  <si>
    <t>Krishna Desai</t>
  </si>
  <si>
    <t>03-09-2023</t>
  </si>
  <si>
    <t>22-09-2023</t>
  </si>
  <si>
    <t>Priya Tiwari</t>
  </si>
  <si>
    <t>06-12-2025</t>
  </si>
  <si>
    <t>17-12-2025</t>
  </si>
  <si>
    <t>Saanvi Nair</t>
  </si>
  <si>
    <t>06-09-2024</t>
  </si>
  <si>
    <t>21-09-2024</t>
  </si>
  <si>
    <t>Priya Reddy</t>
  </si>
  <si>
    <t>31-05-2023</t>
  </si>
  <si>
    <t>18-06-2023</t>
  </si>
  <si>
    <t>Krishna Joshi</t>
  </si>
  <si>
    <t>06-08-2024</t>
  </si>
  <si>
    <t>12-08-2024</t>
  </si>
  <si>
    <t>Aarav Mishra</t>
  </si>
  <si>
    <t>05-09-2024</t>
  </si>
  <si>
    <t>09-09-2024</t>
  </si>
  <si>
    <t>Riya Nair</t>
  </si>
  <si>
    <t>11-07-2024</t>
  </si>
  <si>
    <t>21-07-2024</t>
  </si>
  <si>
    <t>Ishaan Bose</t>
  </si>
  <si>
    <t>06-10-2025</t>
  </si>
  <si>
    <t>Aarav Yadav</t>
  </si>
  <si>
    <t>25-09-2023</t>
  </si>
  <si>
    <t>04-10-2023</t>
  </si>
  <si>
    <t>Riya Sharma</t>
  </si>
  <si>
    <t>18-08-2023</t>
  </si>
  <si>
    <t>21-08-2023</t>
  </si>
  <si>
    <t>Priya Mishra</t>
  </si>
  <si>
    <t>31-10-2023</t>
  </si>
  <si>
    <t>14-11-2023</t>
  </si>
  <si>
    <t>Diya Mehta</t>
  </si>
  <si>
    <t>26-05-2024</t>
  </si>
  <si>
    <t>30-05-2024</t>
  </si>
  <si>
    <t>Krishna Gupta</t>
  </si>
  <si>
    <t>29-12-2023</t>
  </si>
  <si>
    <t>12-01-2024</t>
  </si>
  <si>
    <t>Krishna Khan</t>
  </si>
  <si>
    <t>23-11-2023</t>
  </si>
  <si>
    <t>27-11-2023</t>
  </si>
  <si>
    <t>Aadhya Joshi</t>
  </si>
  <si>
    <t>17-09-2024</t>
  </si>
  <si>
    <t>25-09-2024</t>
  </si>
  <si>
    <t>Ishaan Patel</t>
  </si>
  <si>
    <t>Vihaan Khan</t>
  </si>
  <si>
    <t>01-01-2024</t>
  </si>
  <si>
    <t>20-01-2024</t>
  </si>
  <si>
    <t>Diya Yadav</t>
  </si>
  <si>
    <t>12-06-2025</t>
  </si>
  <si>
    <t>02-07-2025</t>
  </si>
  <si>
    <t>Ishaan Verma</t>
  </si>
  <si>
    <t>13-06-2025</t>
  </si>
  <si>
    <t>Ananya Rao</t>
  </si>
  <si>
    <t>04-10-2024</t>
  </si>
  <si>
    <t>08-10-2024</t>
  </si>
  <si>
    <t>Shaurya Mishra</t>
  </si>
  <si>
    <t>18-09-2023</t>
  </si>
  <si>
    <t>Shaurya Desai</t>
  </si>
  <si>
    <t>01-01-2023</t>
  </si>
  <si>
    <t>11-01-2023</t>
  </si>
  <si>
    <t>Ananya Kapoor</t>
  </si>
  <si>
    <t>23-06-2025</t>
  </si>
  <si>
    <t>08-07-2025</t>
  </si>
  <si>
    <t>Sai Patel</t>
  </si>
  <si>
    <t>04-08-2024</t>
  </si>
  <si>
    <t>21-08-2024</t>
  </si>
  <si>
    <t>Shaurya Iyer</t>
  </si>
  <si>
    <t>Aditya Kapoor</t>
  </si>
  <si>
    <t>28-04-2025</t>
  </si>
  <si>
    <t>17-05-2025</t>
  </si>
  <si>
    <t>Arjun Sharma</t>
  </si>
  <si>
    <t>07-08-2023</t>
  </si>
  <si>
    <t>06-09-2023</t>
  </si>
  <si>
    <t>21-09-2023</t>
  </si>
  <si>
    <t>30-10-2025</t>
  </si>
  <si>
    <t>13-11-2025</t>
  </si>
  <si>
    <t>Aadhya Khan</t>
  </si>
  <si>
    <t>21-05-2024</t>
  </si>
  <si>
    <t>Aditya Singh</t>
  </si>
  <si>
    <t>25-04-2024</t>
  </si>
  <si>
    <t>04-05-2024</t>
  </si>
  <si>
    <t>Arjun Iyer</t>
  </si>
  <si>
    <t>23-02-2025</t>
  </si>
  <si>
    <t>28-02-2025</t>
  </si>
  <si>
    <t>01-05-2025</t>
  </si>
  <si>
    <t>03-05-2025</t>
  </si>
  <si>
    <t>Aarav Tiwari</t>
  </si>
  <si>
    <t>18-02-2025</t>
  </si>
  <si>
    <t>06-03-2025</t>
  </si>
  <si>
    <t>Riya Mishra</t>
  </si>
  <si>
    <t>27-03-2024</t>
  </si>
  <si>
    <t>12-04-2024</t>
  </si>
  <si>
    <t>Saanvi Yadav</t>
  </si>
  <si>
    <t>08-04-2025</t>
  </si>
  <si>
    <t>14-04-2025</t>
  </si>
  <si>
    <t>Saanvi Tiwari</t>
  </si>
  <si>
    <t>25-02-2023</t>
  </si>
  <si>
    <t>28-02-2023</t>
  </si>
  <si>
    <t>Vivaan Khan</t>
  </si>
  <si>
    <t>15-02-2025</t>
  </si>
  <si>
    <t>26-02-2025</t>
  </si>
  <si>
    <t>Ishaan Malhotra</t>
  </si>
  <si>
    <t>31-05-2024</t>
  </si>
  <si>
    <t>03-06-2024</t>
  </si>
  <si>
    <t>Krishna Patel</t>
  </si>
  <si>
    <t>24-03-2023</t>
  </si>
  <si>
    <t>25-03-2023</t>
  </si>
  <si>
    <t>Krishna Nair</t>
  </si>
  <si>
    <t>27-08-2025</t>
  </si>
  <si>
    <t>31-08-2025</t>
  </si>
  <si>
    <t>Diya Gupta</t>
  </si>
  <si>
    <t>23-08-2023</t>
  </si>
  <si>
    <t>29-08-2023</t>
  </si>
  <si>
    <t>Priya Desai</t>
  </si>
  <si>
    <t>23-03-2025</t>
  </si>
  <si>
    <t>30-03-2025</t>
  </si>
  <si>
    <t>Sneha Reddy</t>
  </si>
  <si>
    <t>26-03-2023</t>
  </si>
  <si>
    <t>07-04-2023</t>
  </si>
  <si>
    <t>Ananya Sharma</t>
  </si>
  <si>
    <t>10-05-2025</t>
  </si>
  <si>
    <t>Arjun Malhotra</t>
  </si>
  <si>
    <t>27-12-2023</t>
  </si>
  <si>
    <t>13-01-2024</t>
  </si>
  <si>
    <t>Aadhya Malhotra</t>
  </si>
  <si>
    <t>03-07-2024</t>
  </si>
  <si>
    <t>14-07-2024</t>
  </si>
  <si>
    <t>Aadhya Tiwari</t>
  </si>
  <si>
    <t>Reyansh Joshi</t>
  </si>
  <si>
    <t>13-06-2024</t>
  </si>
  <si>
    <t>24-06-2024</t>
  </si>
  <si>
    <t>09-05-2024</t>
  </si>
  <si>
    <t>23-05-2024</t>
  </si>
  <si>
    <t>Kiara Kapoor</t>
  </si>
  <si>
    <t>05-02-2023</t>
  </si>
  <si>
    <t>08-02-2023</t>
  </si>
  <si>
    <t>Shaurya Tiwari</t>
  </si>
  <si>
    <t>25-01-2025</t>
  </si>
  <si>
    <t>10-02-2025</t>
  </si>
  <si>
    <t>Ananya Joshi</t>
  </si>
  <si>
    <t>27-07-2025</t>
  </si>
  <si>
    <t>Reyansh Yadav</t>
  </si>
  <si>
    <t>02-09-2023</t>
  </si>
  <si>
    <t>20-09-2023</t>
  </si>
  <si>
    <t>Kiara Khan</t>
  </si>
  <si>
    <t>10-12-2025</t>
  </si>
  <si>
    <t>30-12-2025</t>
  </si>
  <si>
    <t>11-09-2024</t>
  </si>
  <si>
    <t>12-09-2024</t>
  </si>
  <si>
    <t>Riya Singh</t>
  </si>
  <si>
    <t>16-09-2023</t>
  </si>
  <si>
    <t>02-10-2023</t>
  </si>
  <si>
    <t>28-11-2024</t>
  </si>
  <si>
    <t>04-12-2024</t>
  </si>
  <si>
    <t>Saanvi Chopra</t>
  </si>
  <si>
    <t>01-06-2023</t>
  </si>
  <si>
    <t>20-06-2023</t>
  </si>
  <si>
    <t>Shaurya Patel</t>
  </si>
  <si>
    <t>27-05-2024</t>
  </si>
  <si>
    <t>Krishna Bose</t>
  </si>
  <si>
    <t>05-03-2025</t>
  </si>
  <si>
    <t>Priya Rao</t>
  </si>
  <si>
    <t>04-05-2023</t>
  </si>
  <si>
    <t>24-05-2023</t>
  </si>
  <si>
    <t>Aditya Gupta</t>
  </si>
  <si>
    <t>06-05-2024</t>
  </si>
  <si>
    <t>12-05-2024</t>
  </si>
  <si>
    <t>Aadhya Rao</t>
  </si>
  <si>
    <t>20-08-2025</t>
  </si>
  <si>
    <t>30-08-2025</t>
  </si>
  <si>
    <t>Aadhya Patel</t>
  </si>
  <si>
    <t>23-04-2024</t>
  </si>
  <si>
    <t>02-05-2024</t>
  </si>
  <si>
    <t>28-06-2024</t>
  </si>
  <si>
    <t>Priya Singh</t>
  </si>
  <si>
    <t>18-06-2025</t>
  </si>
  <si>
    <t>22-06-2025</t>
  </si>
  <si>
    <t>Riya Chopra</t>
  </si>
  <si>
    <t>15-06-2025</t>
  </si>
  <si>
    <t>Sneha Khan</t>
  </si>
  <si>
    <t>22-02-2023</t>
  </si>
  <si>
    <t>Sai Chopra</t>
  </si>
  <si>
    <t>28-11-2025</t>
  </si>
  <si>
    <t>13-12-2025</t>
  </si>
  <si>
    <t>Kiara Patel</t>
  </si>
  <si>
    <t>01-09-2025</t>
  </si>
  <si>
    <t>Sai Yadav</t>
  </si>
  <si>
    <t>23-04-2025</t>
  </si>
  <si>
    <t>09-05-2025</t>
  </si>
  <si>
    <t>11-06-2024</t>
  </si>
  <si>
    <t>26-04-2025</t>
  </si>
  <si>
    <t>Aadhya Verma</t>
  </si>
  <si>
    <t>21-02-2024</t>
  </si>
  <si>
    <t>Kiara Reddy</t>
  </si>
  <si>
    <t>01-03-2023</t>
  </si>
  <si>
    <t>21-03-2023</t>
  </si>
  <si>
    <t>Riya Malhotra</t>
  </si>
  <si>
    <t>10-07-2023</t>
  </si>
  <si>
    <t>Kiara Singh</t>
  </si>
  <si>
    <t>08-11-2025</t>
  </si>
  <si>
    <t>17-11-2025</t>
  </si>
  <si>
    <t>24-02-2025</t>
  </si>
  <si>
    <t>03-03-2025</t>
  </si>
  <si>
    <t>Ananya Bose</t>
  </si>
  <si>
    <t>01-07-2024</t>
  </si>
  <si>
    <t>02-07-2024</t>
  </si>
  <si>
    <t>Kiara Nair</t>
  </si>
  <si>
    <t>03-07-2025</t>
  </si>
  <si>
    <t>21-07-2025</t>
  </si>
  <si>
    <t>Saanvi Kapoor</t>
  </si>
  <si>
    <t>21-10-2024</t>
  </si>
  <si>
    <t>Myra Verma</t>
  </si>
  <si>
    <t>29-10-2024</t>
  </si>
  <si>
    <t>Arjun Bose</t>
  </si>
  <si>
    <t>10-11-2024</t>
  </si>
  <si>
    <t>14-11-2024</t>
  </si>
  <si>
    <t>13-11-2023</t>
  </si>
  <si>
    <t>16-11-2023</t>
  </si>
  <si>
    <t>Saanvi Patel</t>
  </si>
  <si>
    <t>03-11-2024</t>
  </si>
  <si>
    <t>21-11-2024</t>
  </si>
  <si>
    <t>Sneha Patel</t>
  </si>
  <si>
    <t>05-05-2024</t>
  </si>
  <si>
    <t>Vihaan Kapoor</t>
  </si>
  <si>
    <t>07-12-2023</t>
  </si>
  <si>
    <t>Diya Joshi</t>
  </si>
  <si>
    <t>01-06-2025</t>
  </si>
  <si>
    <t>06-06-2025</t>
  </si>
  <si>
    <t>Sai Gupta</t>
  </si>
  <si>
    <t>01-07-2023</t>
  </si>
  <si>
    <t>Krishna Kapoor</t>
  </si>
  <si>
    <t>04-06-2024</t>
  </si>
  <si>
    <t>19-06-2024</t>
  </si>
  <si>
    <t>Riya Gupta</t>
  </si>
  <si>
    <t>16-06-2023</t>
  </si>
  <si>
    <t>Aadhya Singh</t>
  </si>
  <si>
    <t>25-02-2024</t>
  </si>
  <si>
    <t>Diya Tiwari</t>
  </si>
  <si>
    <t>28-08-2024</t>
  </si>
  <si>
    <t>07-09-2024</t>
  </si>
  <si>
    <t>Vivaan Rao</t>
  </si>
  <si>
    <t>14-10-2025</t>
  </si>
  <si>
    <t>24-10-2025</t>
  </si>
  <si>
    <t>08-10-2023</t>
  </si>
  <si>
    <t>12-10-2023</t>
  </si>
  <si>
    <t>Priya Joshi</t>
  </si>
  <si>
    <t>27-09-2023</t>
  </si>
  <si>
    <t>30-09-2023</t>
  </si>
  <si>
    <t>Arjun Mishra</t>
  </si>
  <si>
    <t>19-01-2025</t>
  </si>
  <si>
    <t>05-02-2025</t>
  </si>
  <si>
    <t>Shaurya Yadav</t>
  </si>
  <si>
    <t>24-08-2023</t>
  </si>
  <si>
    <t>08-09-2023</t>
  </si>
  <si>
    <t>Saanvi Mishra</t>
  </si>
  <si>
    <t>22-01-2025</t>
  </si>
  <si>
    <t>20-06-2024</t>
  </si>
  <si>
    <t>09-07-2024</t>
  </si>
  <si>
    <t>Kiara Sharma</t>
  </si>
  <si>
    <t>02-11-2024</t>
  </si>
  <si>
    <t>22-11-2024</t>
  </si>
  <si>
    <t>Myra Reddy</t>
  </si>
  <si>
    <t>14-10-2023</t>
  </si>
  <si>
    <t>16-10-2023</t>
  </si>
  <si>
    <t>Krishna Mishra</t>
  </si>
  <si>
    <t>05-10-2023</t>
  </si>
  <si>
    <t>18-10-2023</t>
  </si>
  <si>
    <t>27-06-2025</t>
  </si>
  <si>
    <t>12-07-2025</t>
  </si>
  <si>
    <t>Riya Joshi</t>
  </si>
  <si>
    <t>Reyansh Rao</t>
  </si>
  <si>
    <t>15-02-2023</t>
  </si>
  <si>
    <t>Aditya Mishra</t>
  </si>
  <si>
    <t>29-02-2024</t>
  </si>
  <si>
    <t>19-03-2024</t>
  </si>
  <si>
    <t>Aarav Khan</t>
  </si>
  <si>
    <t>24-10-2023</t>
  </si>
  <si>
    <t>Aarav Nair</t>
  </si>
  <si>
    <t>31-01-2023</t>
  </si>
  <si>
    <t>12-02-2023</t>
  </si>
  <si>
    <t>Vivaan Nair</t>
  </si>
  <si>
    <t>12-05-2025</t>
  </si>
  <si>
    <t>29-05-2025</t>
  </si>
  <si>
    <t>Anika Tiwari</t>
  </si>
  <si>
    <t>12-08-2023</t>
  </si>
  <si>
    <t>27-08-2023</t>
  </si>
  <si>
    <t>Anika Singh</t>
  </si>
  <si>
    <t>28-07-2025</t>
  </si>
  <si>
    <t>Vihaan Chopra</t>
  </si>
  <si>
    <t>30-06-2025</t>
  </si>
  <si>
    <t>27-10-2024</t>
  </si>
  <si>
    <t>09-11-2024</t>
  </si>
  <si>
    <t>10-09-2023</t>
  </si>
  <si>
    <t>27-03-2025</t>
  </si>
  <si>
    <t>10-04-2025</t>
  </si>
  <si>
    <t>Ishaan Joshi</t>
  </si>
  <si>
    <t>09-11-2023</t>
  </si>
  <si>
    <t>25-11-2023</t>
  </si>
  <si>
    <t>Vihaan Joshi</t>
  </si>
  <si>
    <t>24-09-2023</t>
  </si>
  <si>
    <t>01-09-2024</t>
  </si>
  <si>
    <t>Reyansh Nair</t>
  </si>
  <si>
    <t>14-09-2025</t>
  </si>
  <si>
    <t>22-09-2025</t>
  </si>
  <si>
    <t>Ishaan Tiwari</t>
  </si>
  <si>
    <t>08-04-2024</t>
  </si>
  <si>
    <t>22-04-2024</t>
  </si>
  <si>
    <t>Ishaan Sharma</t>
  </si>
  <si>
    <t>05-01-2024</t>
  </si>
  <si>
    <t>14-01-2024</t>
  </si>
  <si>
    <t>Sai Nair</t>
  </si>
  <si>
    <t>31-03-2025</t>
  </si>
  <si>
    <t>03-04-2025</t>
  </si>
  <si>
    <t>Reyansh Desai</t>
  </si>
  <si>
    <t>24-05-2025</t>
  </si>
  <si>
    <t>Ananya Tiwari</t>
  </si>
  <si>
    <t>23-06-2023</t>
  </si>
  <si>
    <t>25-06-2023</t>
  </si>
  <si>
    <t>Aditya Khan</t>
  </si>
  <si>
    <t>26-06-2025</t>
  </si>
  <si>
    <t>10-07-2025</t>
  </si>
  <si>
    <t>Anika Reddy</t>
  </si>
  <si>
    <t>07-12-2024</t>
  </si>
  <si>
    <t>21-12-2024</t>
  </si>
  <si>
    <t>Shaurya Verma</t>
  </si>
  <si>
    <t>09-04-2024</t>
  </si>
  <si>
    <t>07-06-2024</t>
  </si>
  <si>
    <t>17-06-2024</t>
  </si>
  <si>
    <t>Diya Patel</t>
  </si>
  <si>
    <t>24-03-2025</t>
  </si>
  <si>
    <t>26-03-2025</t>
  </si>
  <si>
    <t>Priya Malhotra</t>
  </si>
  <si>
    <t>22-04-2025</t>
  </si>
  <si>
    <t>Sai Rao</t>
  </si>
  <si>
    <t>31-07-2025</t>
  </si>
  <si>
    <t>12-08-2025</t>
  </si>
  <si>
    <t>09-12-2025</t>
  </si>
  <si>
    <t>12-12-2025</t>
  </si>
  <si>
    <t>11-11-2025</t>
  </si>
  <si>
    <t>15-11-2025</t>
  </si>
  <si>
    <t>04-08-2023</t>
  </si>
  <si>
    <t>08-10-2025</t>
  </si>
  <si>
    <t>23-10-2025</t>
  </si>
  <si>
    <t>09-10-2024</t>
  </si>
  <si>
    <t>14-10-2024</t>
  </si>
  <si>
    <t>Shaurya Khan</t>
  </si>
  <si>
    <t>26-04-2023</t>
  </si>
  <si>
    <t>08-05-2023</t>
  </si>
  <si>
    <t>Vivaan Verma</t>
  </si>
  <si>
    <t>04-02-2025</t>
  </si>
  <si>
    <t>10-04-2023</t>
  </si>
  <si>
    <t>Anika Nair</t>
  </si>
  <si>
    <t>07-05-2023</t>
  </si>
  <si>
    <t>22-05-2023</t>
  </si>
  <si>
    <t>Sai Verma</t>
  </si>
  <si>
    <t>22-05-2024</t>
  </si>
  <si>
    <t>06-06-2024</t>
  </si>
  <si>
    <t>Saanvi Malhotra</t>
  </si>
  <si>
    <t>23-11-2024</t>
  </si>
  <si>
    <t>13-12-2024</t>
  </si>
  <si>
    <t>Riya Desai</t>
  </si>
  <si>
    <t>13-08-2024</t>
  </si>
  <si>
    <t>Arjun Joshi</t>
  </si>
  <si>
    <t>27-09-2024</t>
  </si>
  <si>
    <t>10-10-2024</t>
  </si>
  <si>
    <t>Ananya Nair</t>
  </si>
  <si>
    <t>14-12-2025</t>
  </si>
  <si>
    <t>Diya Singh</t>
  </si>
  <si>
    <t>Arjun Patel</t>
  </si>
  <si>
    <t>Sneha Desai</t>
  </si>
  <si>
    <t>12-11-2023</t>
  </si>
  <si>
    <t>18-11-2023</t>
  </si>
  <si>
    <t>Diya Iyer</t>
  </si>
  <si>
    <t>28-06-2025</t>
  </si>
  <si>
    <t>Shaurya Chopra</t>
  </si>
  <si>
    <t>02-02-2024</t>
  </si>
  <si>
    <t>14-02-2024</t>
  </si>
  <si>
    <t>Anika Bose</t>
  </si>
  <si>
    <t>07-05-2025</t>
  </si>
  <si>
    <t>13-05-2025</t>
  </si>
  <si>
    <t>Kiara Joshi</t>
  </si>
  <si>
    <t>16-08-2023</t>
  </si>
  <si>
    <t>Aadhya Bose</t>
  </si>
  <si>
    <t>22-03-2025</t>
  </si>
  <si>
    <t>Krishna Sharma</t>
  </si>
  <si>
    <t>18-10-2024</t>
  </si>
  <si>
    <t>28-10-2023</t>
  </si>
  <si>
    <t>16-12-2025</t>
  </si>
  <si>
    <t>Vivaan Iyer</t>
  </si>
  <si>
    <t>21-11-2025</t>
  </si>
  <si>
    <t>Sneha Joshi</t>
  </si>
  <si>
    <t>07-05-2024</t>
  </si>
  <si>
    <t>Aditya Bose</t>
  </si>
  <si>
    <t>05-11-2025</t>
  </si>
  <si>
    <t>22-11-2025</t>
  </si>
  <si>
    <t>Vihaan Tiwari</t>
  </si>
  <si>
    <t>11-11-2024</t>
  </si>
  <si>
    <t>16-11-2024</t>
  </si>
  <si>
    <t>Sai Kapoor</t>
  </si>
  <si>
    <t>07-09-2025</t>
  </si>
  <si>
    <t>13-09-2025</t>
  </si>
  <si>
    <t>13-02-2024</t>
  </si>
  <si>
    <t>15-02-2024</t>
  </si>
  <si>
    <t>16-03-2023</t>
  </si>
  <si>
    <t>23-03-2023</t>
  </si>
  <si>
    <t>Ishaan Reddy</t>
  </si>
  <si>
    <t>06-02-2025</t>
  </si>
  <si>
    <t>Kiara Chopra</t>
  </si>
  <si>
    <t>08-02-2025</t>
  </si>
  <si>
    <t>Sneha Gupta</t>
  </si>
  <si>
    <t>24-08-2024</t>
  </si>
  <si>
    <t>04-09-2024</t>
  </si>
  <si>
    <t>Shaurya Kapoor</t>
  </si>
  <si>
    <t>22-05-2025</t>
  </si>
  <si>
    <t>28-05-2025</t>
  </si>
  <si>
    <t>Diya Rao</t>
  </si>
  <si>
    <t>09-06-2025</t>
  </si>
  <si>
    <t>16-11-2025</t>
  </si>
  <si>
    <t>26-05-2023</t>
  </si>
  <si>
    <t>11-11-2023</t>
  </si>
  <si>
    <t>26-11-2023</t>
  </si>
  <si>
    <t>21-01-2025</t>
  </si>
  <si>
    <t>03-02-2025</t>
  </si>
  <si>
    <t>26-11-2025</t>
  </si>
  <si>
    <t>Aadhya Mehta</t>
  </si>
  <si>
    <t>07-08-2024</t>
  </si>
  <si>
    <t>23-08-2024</t>
  </si>
  <si>
    <t>29-06-2023</t>
  </si>
  <si>
    <t>Shaurya Singh</t>
  </si>
  <si>
    <t>19-11-2023</t>
  </si>
  <si>
    <t>Krishna Chopra</t>
  </si>
  <si>
    <t>23-02-2023</t>
  </si>
  <si>
    <t>07-03-2023</t>
  </si>
  <si>
    <t>15-05-2023</t>
  </si>
  <si>
    <t>25-05-2023</t>
  </si>
  <si>
    <t>Priya Patel</t>
  </si>
  <si>
    <t>14-09-2023</t>
  </si>
  <si>
    <t>Anika Joshi</t>
  </si>
  <si>
    <t>27-11-2025</t>
  </si>
  <si>
    <t>02-12-2025</t>
  </si>
  <si>
    <t>08-12-2025</t>
  </si>
  <si>
    <t>Ishaan Nair</t>
  </si>
  <si>
    <t>02-10-2024</t>
  </si>
  <si>
    <t>26-06-2024</t>
  </si>
  <si>
    <t>16-08-2024</t>
  </si>
  <si>
    <t>26-08-2024</t>
  </si>
  <si>
    <t>20-11-2023</t>
  </si>
  <si>
    <t>Sneha Nair</t>
  </si>
  <si>
    <t>15-10-2024</t>
  </si>
  <si>
    <t>23-10-2024</t>
  </si>
  <si>
    <t>Arjun Reddy</t>
  </si>
  <si>
    <t>14-04-2023</t>
  </si>
  <si>
    <t>24-04-2023</t>
  </si>
  <si>
    <t>Priya Yadav</t>
  </si>
  <si>
    <t>24-01-2024</t>
  </si>
  <si>
    <t>30-01-2024</t>
  </si>
  <si>
    <t>Aarav Patel</t>
  </si>
  <si>
    <t>16-03-2025</t>
  </si>
  <si>
    <t>02-04-2025</t>
  </si>
  <si>
    <t>30-07-2024</t>
  </si>
  <si>
    <t>15-08-2024</t>
  </si>
  <si>
    <t>Vihaan Malhotra</t>
  </si>
  <si>
    <t>11-10-2023</t>
  </si>
  <si>
    <t>Vivaan Tiwari</t>
  </si>
  <si>
    <t>03-02-2024</t>
  </si>
  <si>
    <t>26-07-2024</t>
  </si>
  <si>
    <t>18-01-2025</t>
  </si>
  <si>
    <t>13-11-2024</t>
  </si>
  <si>
    <t>29-11-2024</t>
  </si>
  <si>
    <t>Arjun Yadav</t>
  </si>
  <si>
    <t>20-10-2024</t>
  </si>
  <si>
    <t>Anika Mishra</t>
  </si>
  <si>
    <t>30-09-2025</t>
  </si>
  <si>
    <t>19-10-2025</t>
  </si>
  <si>
    <t>22-09-2024</t>
  </si>
  <si>
    <t>23-09-2024</t>
  </si>
  <si>
    <t>Priya Iyer</t>
  </si>
  <si>
    <t>16-04-2023</t>
  </si>
  <si>
    <t>30-10-2023</t>
  </si>
  <si>
    <t>07-11-2023</t>
  </si>
  <si>
    <t>Ananya Malhotra</t>
  </si>
  <si>
    <t>21-11-2023</t>
  </si>
  <si>
    <t>Kiara Verma</t>
  </si>
  <si>
    <t>10-10-2023</t>
  </si>
  <si>
    <t>27-10-2023</t>
  </si>
  <si>
    <t>Ananya Gupta</t>
  </si>
  <si>
    <t>17-08-2025</t>
  </si>
  <si>
    <t>Reyansh Iyer</t>
  </si>
  <si>
    <t>Reyansh Chopra</t>
  </si>
  <si>
    <t>11-10-2024</t>
  </si>
  <si>
    <t>19-03-2025</t>
  </si>
  <si>
    <t>Aditya Joshi</t>
  </si>
  <si>
    <t>24-06-2025</t>
  </si>
  <si>
    <t>Riya Khan</t>
  </si>
  <si>
    <t>09-10-2023</t>
  </si>
  <si>
    <t>Anika Iyer</t>
  </si>
  <si>
    <t>21-04-2024</t>
  </si>
  <si>
    <t>Vihaan Nair</t>
  </si>
  <si>
    <t>29-01-2023</t>
  </si>
  <si>
    <t>19-10-2024</t>
  </si>
  <si>
    <t>18-03-2023</t>
  </si>
  <si>
    <t>Sai Singh</t>
  </si>
  <si>
    <t>19-03-2023</t>
  </si>
  <si>
    <t>Riya Bose</t>
  </si>
  <si>
    <t>13-10-2025</t>
  </si>
  <si>
    <t>06-08-2025</t>
  </si>
  <si>
    <t>Reyansh Gupta</t>
  </si>
  <si>
    <t>24-04-2025</t>
  </si>
  <si>
    <t>Vihaan Gupta</t>
  </si>
  <si>
    <t>30-06-2024</t>
  </si>
  <si>
    <t>Krishna Verma</t>
  </si>
  <si>
    <t>31-08-2023</t>
  </si>
  <si>
    <t>15-09-2023</t>
  </si>
  <si>
    <t>Shaurya Reddy</t>
  </si>
  <si>
    <t>27-08-2024</t>
  </si>
  <si>
    <t>08-09-2024</t>
  </si>
  <si>
    <t>Arjun Kapoor</t>
  </si>
  <si>
    <t>Krishna Rao</t>
  </si>
  <si>
    <t>17-06-2023</t>
  </si>
  <si>
    <t>04-07-2023</t>
  </si>
  <si>
    <t>Vivaan Mishra</t>
  </si>
  <si>
    <t>01-11-2025</t>
  </si>
  <si>
    <t>Aadhya Reddy</t>
  </si>
  <si>
    <t>15-03-2024</t>
  </si>
  <si>
    <t>Aadhya Nair</t>
  </si>
  <si>
    <t>01-12-2025</t>
  </si>
  <si>
    <t>Shaurya Sharma</t>
  </si>
  <si>
    <t>21-03-2025</t>
  </si>
  <si>
    <t>Myra Joshi</t>
  </si>
  <si>
    <t>11-05-2023</t>
  </si>
  <si>
    <t>29-05-2023</t>
  </si>
  <si>
    <t>19-10-2023</t>
  </si>
  <si>
    <t>08-01-2023</t>
  </si>
  <si>
    <t>09-01-2023</t>
  </si>
  <si>
    <t>Saanvi Iyer</t>
  </si>
  <si>
    <t>05-06-2024</t>
  </si>
  <si>
    <t>Vihaan Verma</t>
  </si>
  <si>
    <t>08-05-2025</t>
  </si>
  <si>
    <t>Sneha Verma</t>
  </si>
  <si>
    <t>23-07-2025</t>
  </si>
  <si>
    <t>24-04-2024</t>
  </si>
  <si>
    <t>06-05-2025</t>
  </si>
  <si>
    <t>Sai Malhotra</t>
  </si>
  <si>
    <t>12-10-2025</t>
  </si>
  <si>
    <t>Myra Malhotra</t>
  </si>
  <si>
    <t>02-11-2023</t>
  </si>
  <si>
    <t>Krishna Singh</t>
  </si>
  <si>
    <t>23-10-2023</t>
  </si>
  <si>
    <t>Arjun Desai</t>
  </si>
  <si>
    <t>26-01-2024</t>
  </si>
  <si>
    <t>28-01-2024</t>
  </si>
  <si>
    <t>20-03-2024</t>
  </si>
  <si>
    <t>05-04-2024</t>
  </si>
  <si>
    <t>15-09-2025</t>
  </si>
  <si>
    <t>Ananya Singh</t>
  </si>
  <si>
    <t>Anika Chopra</t>
  </si>
  <si>
    <t>16-08-2025</t>
  </si>
  <si>
    <t>29-03-2024</t>
  </si>
  <si>
    <t>03-04-2024</t>
  </si>
  <si>
    <t>Myra Singh</t>
  </si>
  <si>
    <t>01-12-2024</t>
  </si>
  <si>
    <t>01-11-2023</t>
  </si>
  <si>
    <t>Anika Verma</t>
  </si>
  <si>
    <t>02-06-2023</t>
  </si>
  <si>
    <t>04-06-2023</t>
  </si>
  <si>
    <t>Aditya Nair</t>
  </si>
  <si>
    <t>19-01-2023</t>
  </si>
  <si>
    <t>26-01-2023</t>
  </si>
  <si>
    <t>Sneha Chopra</t>
  </si>
  <si>
    <t>26-09-2025</t>
  </si>
  <si>
    <t>Ishaan Mishra</t>
  </si>
  <si>
    <t>10-08-2024</t>
  </si>
  <si>
    <t>11-08-2024</t>
  </si>
  <si>
    <t>08-05-2024</t>
  </si>
  <si>
    <t>15-05-2024</t>
  </si>
  <si>
    <t>11-04-2025</t>
  </si>
  <si>
    <t>11-07-2023</t>
  </si>
  <si>
    <t>24-07-2023</t>
  </si>
  <si>
    <t>19-06-2023</t>
  </si>
  <si>
    <t>05-07-2023</t>
  </si>
  <si>
    <t>08-03-2024</t>
  </si>
  <si>
    <t>09-03-2023</t>
  </si>
  <si>
    <t>15-03-2023</t>
  </si>
  <si>
    <t>10-09-2024</t>
  </si>
  <si>
    <t>Riya Yadav</t>
  </si>
  <si>
    <t>25-02-2025</t>
  </si>
  <si>
    <t>02-03-2025</t>
  </si>
  <si>
    <t>14-06-2025</t>
  </si>
  <si>
    <t>02-03-2023</t>
  </si>
  <si>
    <t>11-03-2023</t>
  </si>
  <si>
    <t>16-01-2024</t>
  </si>
  <si>
    <t>04-02-2024</t>
  </si>
  <si>
    <t>27-06-2023</t>
  </si>
  <si>
    <t>10-08-2023</t>
  </si>
  <si>
    <t>28-06-2023</t>
  </si>
  <si>
    <t>26-02-2023</t>
  </si>
  <si>
    <t>Saanvi Sharma</t>
  </si>
  <si>
    <t>20-08-2024</t>
  </si>
  <si>
    <t>03-09-2024</t>
  </si>
  <si>
    <t>09-12-2023</t>
  </si>
  <si>
    <t>23-12-2023</t>
  </si>
  <si>
    <t>Diya Khan</t>
  </si>
  <si>
    <t>20-05-2024</t>
  </si>
  <si>
    <t>01-04-2025</t>
  </si>
  <si>
    <t>Myra Rao</t>
  </si>
  <si>
    <t>06-10-2023</t>
  </si>
  <si>
    <t>19-08-2024</t>
  </si>
  <si>
    <t>22-08-2023</t>
  </si>
  <si>
    <t>16-06-2025</t>
  </si>
  <si>
    <t>Arjun Singh</t>
  </si>
  <si>
    <t>10-05-2024</t>
  </si>
  <si>
    <t>19-05-2024</t>
  </si>
  <si>
    <t>08-09-2025</t>
  </si>
  <si>
    <t>Riya Rao</t>
  </si>
  <si>
    <t>24-06-2023</t>
  </si>
  <si>
    <t>29-03-2025</t>
  </si>
  <si>
    <t>21-10-2025</t>
  </si>
  <si>
    <t>26-10-2025</t>
  </si>
  <si>
    <t>Myra Patel</t>
  </si>
  <si>
    <t>26-08-2023</t>
  </si>
  <si>
    <t>14-12-2024</t>
  </si>
  <si>
    <t>30-12-2024</t>
  </si>
  <si>
    <t>25-08-2023</t>
  </si>
  <si>
    <t>24-11-2023</t>
  </si>
  <si>
    <t>04-06-2025</t>
  </si>
  <si>
    <t>17-06-2025</t>
  </si>
  <si>
    <t>22-03-2024</t>
  </si>
  <si>
    <t>Sai Joshi</t>
  </si>
  <si>
    <t>05-11-2024</t>
  </si>
  <si>
    <t>Anika Yadav</t>
  </si>
  <si>
    <t>28-08-2023</t>
  </si>
  <si>
    <t>10-03-2025</t>
  </si>
  <si>
    <t>Sai Mishra</t>
  </si>
  <si>
    <t>08-12-2023</t>
  </si>
  <si>
    <t>24-12-2023</t>
  </si>
  <si>
    <t>05-01-2025</t>
  </si>
  <si>
    <t>06-01-2025</t>
  </si>
  <si>
    <t>17-04-2025</t>
  </si>
  <si>
    <t>Priya Sharma</t>
  </si>
  <si>
    <t>06-04-2024</t>
  </si>
  <si>
    <t>11-10-2025</t>
  </si>
  <si>
    <t>29-10-2025</t>
  </si>
  <si>
    <t>27-03-2023</t>
  </si>
  <si>
    <t>11-04-2023</t>
  </si>
  <si>
    <t>08-03-2023</t>
  </si>
  <si>
    <t>Krishna Mehta</t>
  </si>
  <si>
    <t>19-12-2024</t>
  </si>
  <si>
    <t>08-01-2025</t>
  </si>
  <si>
    <t>Reyansh Mehta</t>
  </si>
  <si>
    <t>02-05-2023</t>
  </si>
  <si>
    <t>21-05-2023</t>
  </si>
  <si>
    <t>29-09-2023</t>
  </si>
  <si>
    <t>07-10-2023</t>
  </si>
  <si>
    <t>04-07-2024</t>
  </si>
  <si>
    <t>18-07-2024</t>
  </si>
  <si>
    <t>Saanvi Bose</t>
  </si>
  <si>
    <t>23-07-2024</t>
  </si>
  <si>
    <t>03-01-2025</t>
  </si>
  <si>
    <t>23-07-2023</t>
  </si>
  <si>
    <t>Aarav Malhotra</t>
  </si>
  <si>
    <t>19-02-2024</t>
  </si>
  <si>
    <t>24-02-2024</t>
  </si>
  <si>
    <t>30-06-2023</t>
  </si>
  <si>
    <t>Arjun Tiwari</t>
  </si>
  <si>
    <t>Ananya Reddy</t>
  </si>
  <si>
    <t>19-05-2025</t>
  </si>
  <si>
    <t>Vihaan Reddy</t>
  </si>
  <si>
    <t>03-10-2024</t>
  </si>
  <si>
    <t>22-12-2025</t>
  </si>
  <si>
    <t>10-01-2026</t>
  </si>
  <si>
    <t>09-03-2025</t>
  </si>
  <si>
    <t>Aditya Iyer</t>
  </si>
  <si>
    <t>Anika Mehta</t>
  </si>
  <si>
    <t>13-03-2025</t>
  </si>
  <si>
    <t>Vihaan Iyer</t>
  </si>
  <si>
    <t>20-10-2025</t>
  </si>
  <si>
    <t>09-11-2025</t>
  </si>
  <si>
    <t>11-05-2025</t>
  </si>
  <si>
    <t>23-05-2025</t>
  </si>
  <si>
    <t>07-02-2023</t>
  </si>
  <si>
    <t>30-04-2025</t>
  </si>
  <si>
    <t>31-10-2024</t>
  </si>
  <si>
    <t>18-05-2024</t>
  </si>
  <si>
    <t>Vivaan Singh</t>
  </si>
  <si>
    <t>26-12-2023</t>
  </si>
  <si>
    <t>30-12-2023</t>
  </si>
  <si>
    <t>Diya Bose</t>
  </si>
  <si>
    <t>25-11-2025</t>
  </si>
  <si>
    <t>04-12-2025</t>
  </si>
  <si>
    <t>17-11-2024</t>
  </si>
  <si>
    <t>Aditya Chopra</t>
  </si>
  <si>
    <t>07-08-2025</t>
  </si>
  <si>
    <t>10-06-2024</t>
  </si>
  <si>
    <t>Aarav Verma</t>
  </si>
  <si>
    <t>03-02-2023</t>
  </si>
  <si>
    <t>02-02-2025</t>
  </si>
  <si>
    <t>Vivaan Desai</t>
  </si>
  <si>
    <t>06-06-2023</t>
  </si>
  <si>
    <t>Aadhya Sharma</t>
  </si>
  <si>
    <t>01-02-2025</t>
  </si>
  <si>
    <t>07-10-2025</t>
  </si>
  <si>
    <t>Aarav Iyer</t>
  </si>
  <si>
    <t>10-12-2024</t>
  </si>
  <si>
    <t>11-12-2024</t>
  </si>
  <si>
    <t>13-03-2024</t>
  </si>
  <si>
    <t>31-03-2023</t>
  </si>
  <si>
    <t>08-04-2023</t>
  </si>
  <si>
    <t>Aditya Tiwari</t>
  </si>
  <si>
    <t>15-07-2023</t>
  </si>
  <si>
    <t>Vivaan Malhotra</t>
  </si>
  <si>
    <t>03-10-2023</t>
  </si>
  <si>
    <t>Ananya Yadav</t>
  </si>
  <si>
    <t>16-07-2025</t>
  </si>
  <si>
    <t>25-07-2025</t>
  </si>
  <si>
    <t>05-08-2023</t>
  </si>
  <si>
    <t>11-08-2023</t>
  </si>
  <si>
    <t>16-03-2024</t>
  </si>
  <si>
    <t>Diya Desai</t>
  </si>
  <si>
    <t>19-11-2025</t>
  </si>
  <si>
    <t>14-02-2023</t>
  </si>
  <si>
    <t>17-02-2023</t>
  </si>
  <si>
    <t>02-08-2025</t>
  </si>
  <si>
    <t>04-08-2025</t>
  </si>
  <si>
    <t>20-12-2023</t>
  </si>
  <si>
    <t>Arjun Verma</t>
  </si>
  <si>
    <t>28-05-2024</t>
  </si>
  <si>
    <t>22-02-2025</t>
  </si>
  <si>
    <t>Ananya Desai</t>
  </si>
  <si>
    <t>07-07-2024</t>
  </si>
  <si>
    <t>13-07-2024</t>
  </si>
  <si>
    <t>24-08-2025</t>
  </si>
  <si>
    <t>10-09-2025</t>
  </si>
  <si>
    <t>28-12-2025</t>
  </si>
  <si>
    <t>25-10-2024</t>
  </si>
  <si>
    <t>21-01-2024</t>
  </si>
  <si>
    <t>06-02-2024</t>
  </si>
  <si>
    <t>11-05-2024</t>
  </si>
  <si>
    <t>22-02-2024</t>
  </si>
  <si>
    <t>22-10-2023</t>
  </si>
  <si>
    <t>26-07-2023</t>
  </si>
  <si>
    <t>06-08-2023</t>
  </si>
  <si>
    <t>17-10-2024</t>
  </si>
  <si>
    <t>Sai Desai</t>
  </si>
  <si>
    <t>20-09-2024</t>
  </si>
  <si>
    <t>30-09-2024</t>
  </si>
  <si>
    <t>14-03-2023</t>
  </si>
  <si>
    <t>18-10-2025</t>
  </si>
  <si>
    <t>18-11-2024</t>
  </si>
  <si>
    <t>03-12-2024</t>
  </si>
  <si>
    <t>09-06-2024</t>
  </si>
  <si>
    <t>27-04-2025</t>
  </si>
  <si>
    <t>Kiara Tiwari</t>
  </si>
  <si>
    <t>Ananya Khan</t>
  </si>
  <si>
    <t>03-08-2023</t>
  </si>
  <si>
    <t>21-07-2023</t>
  </si>
  <si>
    <t>08-06-2025</t>
  </si>
  <si>
    <t>Myra Mishra</t>
  </si>
  <si>
    <t>27-06-2024</t>
  </si>
  <si>
    <t>02-10-2025</t>
  </si>
  <si>
    <t>Shaurya Rao</t>
  </si>
  <si>
    <t>17-09-2025</t>
  </si>
  <si>
    <t>04-03-2025</t>
  </si>
  <si>
    <t>19-06-2025</t>
  </si>
  <si>
    <t>04-07-2025</t>
  </si>
  <si>
    <t>07-07-2023</t>
  </si>
  <si>
    <t>20-12-2025</t>
  </si>
  <si>
    <t>Sai Mehta</t>
  </si>
  <si>
    <t>12-06-2024</t>
  </si>
  <si>
    <t>23-06-2024</t>
  </si>
  <si>
    <t>19-07-2024</t>
  </si>
  <si>
    <t>05-08-2024</t>
  </si>
  <si>
    <t>05-12-2024</t>
  </si>
  <si>
    <t>19-12-2023</t>
  </si>
  <si>
    <t>28-12-2023</t>
  </si>
  <si>
    <t>Saanvi Verma</t>
  </si>
  <si>
    <t>11-02-2023</t>
  </si>
  <si>
    <t>Vivaan Bose</t>
  </si>
  <si>
    <t>22-11-2023</t>
  </si>
  <si>
    <t>15-07-2024</t>
  </si>
  <si>
    <t>27-07-2024</t>
  </si>
  <si>
    <t>01-12-2023</t>
  </si>
  <si>
    <t>10-12-2023</t>
  </si>
  <si>
    <t>Vivaan Gupta</t>
  </si>
  <si>
    <t>Myra Bose</t>
  </si>
  <si>
    <t>26-09-2024</t>
  </si>
  <si>
    <t>Reyansh Kapoor</t>
  </si>
  <si>
    <t>01-08-2024</t>
  </si>
  <si>
    <t>Ishaan Yadav</t>
  </si>
  <si>
    <t>07-04-2025</t>
  </si>
  <si>
    <t>18-04-2025</t>
  </si>
  <si>
    <t>20-05-2025</t>
  </si>
  <si>
    <t>31-03-2024</t>
  </si>
  <si>
    <t>18-04-2024</t>
  </si>
  <si>
    <t>06-01-2024</t>
  </si>
  <si>
    <t>Myra Yadav</t>
  </si>
  <si>
    <t>31-01-2025</t>
  </si>
  <si>
    <t>09-02-2025</t>
  </si>
  <si>
    <t>05-11-2023</t>
  </si>
  <si>
    <t>10-11-2023</t>
  </si>
  <si>
    <t>08-01-2024</t>
  </si>
  <si>
    <t>Vivaan Sharma</t>
  </si>
  <si>
    <t>14-07-2025</t>
  </si>
  <si>
    <t>07-06-2025</t>
  </si>
  <si>
    <t>21-06-2025</t>
  </si>
  <si>
    <t>20-04-2024</t>
  </si>
  <si>
    <t>12-12-2023</t>
  </si>
  <si>
    <t>Anika Rao</t>
  </si>
  <si>
    <t>06-04-2025</t>
  </si>
  <si>
    <t>30-04-2023</t>
  </si>
  <si>
    <t>11-07-2025</t>
  </si>
  <si>
    <t>Reyansh Sharma</t>
  </si>
  <si>
    <t>Kiara Mehta</t>
  </si>
  <si>
    <t>23-02-2024</t>
  </si>
  <si>
    <t>Shaurya Gupta</t>
  </si>
  <si>
    <t>22-03-2023</t>
  </si>
  <si>
    <t>09-04-2023</t>
  </si>
  <si>
    <t>Aarav Sharma</t>
  </si>
  <si>
    <t>02-07-2023</t>
  </si>
  <si>
    <t>06-07-2023</t>
  </si>
  <si>
    <t>Aditya Reddy</t>
  </si>
  <si>
    <t>08-06-2024</t>
  </si>
  <si>
    <t>16-06-2024</t>
  </si>
  <si>
    <t>01-04-2023</t>
  </si>
  <si>
    <t>20-01-2023</t>
  </si>
  <si>
    <t>25-01-2023</t>
  </si>
  <si>
    <t>15-08-2023</t>
  </si>
  <si>
    <t>16-02-2025</t>
  </si>
  <si>
    <t>Row Labels</t>
  </si>
  <si>
    <t>Sum of TreatmentCost</t>
  </si>
  <si>
    <t>Grand Total</t>
  </si>
  <si>
    <t>Count of PatientID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</si>
</sst>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13" width="12.576428571428572" customWidth="1" bestFit="1"/>
    <col min="2" max="2" style="4" width="16.719285714285714" customWidth="1" bestFit="1"/>
  </cols>
  <sheetData>
    <row x14ac:dyDescent="0.25" r="1" customHeight="1" ht="18.75">
      <c r="A1" s="11"/>
      <c r="B1" s="1"/>
    </row>
    <row x14ac:dyDescent="0.25" r="2" customHeight="1" ht="18.75">
      <c r="A2" s="11"/>
      <c r="B2" s="1"/>
    </row>
    <row x14ac:dyDescent="0.25" r="3" customHeight="1" ht="18.75">
      <c r="A3" s="11" t="s">
        <v>957</v>
      </c>
      <c r="B3" s="1" t="s">
        <v>960</v>
      </c>
    </row>
    <row x14ac:dyDescent="0.25" r="4" customHeight="1" ht="18.75">
      <c r="A4" s="12" t="s">
        <v>3</v>
      </c>
      <c r="B4" s="3">
        <v>174</v>
      </c>
    </row>
    <row x14ac:dyDescent="0.25" r="5" customHeight="1" ht="18.75">
      <c r="A5" s="12" t="s">
        <v>4</v>
      </c>
      <c r="B5" s="3">
        <v>159</v>
      </c>
    </row>
    <row x14ac:dyDescent="0.25" r="6" customHeight="1" ht="18.75">
      <c r="A6" s="12" t="s">
        <v>2</v>
      </c>
      <c r="B6" s="3">
        <v>147</v>
      </c>
    </row>
    <row x14ac:dyDescent="0.25" r="7" customHeight="1" ht="18.75">
      <c r="A7" s="12" t="s">
        <v>959</v>
      </c>
      <c r="B7" s="3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13" width="12.576428571428572" customWidth="1" bestFit="1"/>
    <col min="2" max="2" style="4" width="20.14785714285714" customWidth="1" bestFit="1"/>
  </cols>
  <sheetData>
    <row x14ac:dyDescent="0.25" r="1" customHeight="1" ht="18.75">
      <c r="A1" s="11"/>
      <c r="B1" s="1"/>
    </row>
    <row x14ac:dyDescent="0.25" r="2" customHeight="1" ht="18.75">
      <c r="A2" s="11"/>
      <c r="B2" s="1"/>
    </row>
    <row x14ac:dyDescent="0.25" r="3" customHeight="1" ht="18.75">
      <c r="A3" s="11" t="s">
        <v>957</v>
      </c>
      <c r="B3" s="1" t="s">
        <v>958</v>
      </c>
    </row>
    <row x14ac:dyDescent="0.25" r="4" customHeight="1" ht="18.75">
      <c r="A4" s="12" t="s">
        <v>39</v>
      </c>
      <c r="B4" s="3">
        <v>6023269</v>
      </c>
    </row>
    <row x14ac:dyDescent="0.25" r="5" customHeight="1" ht="18.75">
      <c r="A5" s="12" t="s">
        <v>34</v>
      </c>
      <c r="B5" s="3">
        <v>6724207</v>
      </c>
    </row>
    <row x14ac:dyDescent="0.25" r="6" customHeight="1" ht="18.75">
      <c r="A6" s="12" t="s">
        <v>50</v>
      </c>
      <c r="B6" s="3">
        <v>4737158</v>
      </c>
    </row>
    <row x14ac:dyDescent="0.25" r="7" customHeight="1" ht="18.75">
      <c r="A7" s="12" t="s">
        <v>959</v>
      </c>
      <c r="B7" s="3">
        <v>17484634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8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5.147857142857141" customWidth="1" bestFit="1"/>
    <col min="3" max="3" style="9" width="4.005" customWidth="1" bestFit="1"/>
    <col min="4" max="4" style="10" width="6.862142857142857" customWidth="1" bestFit="1"/>
    <col min="5" max="5" style="9" width="10.43357142857143" customWidth="1" bestFit="1"/>
    <col min="6" max="6" style="10" width="13.290714285714287" customWidth="1" bestFit="1"/>
    <col min="7" max="7" style="10" width="12.719285714285713" customWidth="1" bestFit="1"/>
    <col min="8" max="8" style="9" width="10.290714285714287" customWidth="1" bestFit="1"/>
    <col min="9" max="9" style="10" width="13.576428571428572" customWidth="1" bestFit="1"/>
    <col min="10" max="10" style="10" width="14.290714285714287" customWidth="1" bestFit="1"/>
    <col min="11" max="11" style="9" width="12.147857142857141" customWidth="1" bestFit="1"/>
    <col min="12" max="12" style="10" width="12.862142857142858" customWidth="1" bestFit="1"/>
    <col min="13" max="13" style="9" width="13.290714285714287" customWidth="1" bestFit="1"/>
    <col min="14" max="14" style="10" width="14.719285714285713" customWidth="1" bestFit="1"/>
  </cols>
  <sheetData>
    <row x14ac:dyDescent="0.25" r="1" customHeight="1" ht="18.75">
      <c r="A1" s="6" t="s">
        <v>17</v>
      </c>
      <c r="B1" s="7" t="s">
        <v>18</v>
      </c>
      <c r="C1" s="6" t="s">
        <v>19</v>
      </c>
      <c r="D1" s="7" t="s">
        <v>20</v>
      </c>
      <c r="E1" s="6" t="s">
        <v>5</v>
      </c>
      <c r="F1" s="7" t="s">
        <v>21</v>
      </c>
      <c r="G1" s="7" t="s">
        <v>22</v>
      </c>
      <c r="H1" s="6" t="s">
        <v>0</v>
      </c>
      <c r="I1" s="7" t="s">
        <v>23</v>
      </c>
      <c r="J1" s="7" t="s">
        <v>24</v>
      </c>
      <c r="K1" s="6" t="s">
        <v>25</v>
      </c>
      <c r="L1" s="7" t="s">
        <v>26</v>
      </c>
      <c r="M1" s="6" t="s">
        <v>27</v>
      </c>
      <c r="N1" s="7" t="s">
        <v>28</v>
      </c>
    </row>
    <row x14ac:dyDescent="0.25" r="2" customHeight="1" ht="18.75">
      <c r="A2" s="6">
        <v>1</v>
      </c>
      <c r="B2" s="7" t="s">
        <v>29</v>
      </c>
      <c r="C2" s="6">
        <v>29</v>
      </c>
      <c r="D2" s="7" t="s">
        <v>30</v>
      </c>
      <c r="E2" s="6">
        <v>2</v>
      </c>
      <c r="F2" s="7" t="s">
        <v>31</v>
      </c>
      <c r="G2" s="7" t="s">
        <v>32</v>
      </c>
      <c r="H2" s="6">
        <v>3</v>
      </c>
      <c r="I2" s="8">
        <f>VLOOKUP(E2,diagnosis!$A$1:$B$11,2,FALSE)</f>
      </c>
      <c r="J2" s="8">
        <f>VLOOKUP(H2,outcomes!$A$1:$B$4,2,FALSE)</f>
      </c>
      <c r="K2" s="6">
        <f>G2-F2</f>
      </c>
      <c r="L2" s="7" t="s">
        <v>33</v>
      </c>
      <c r="M2" s="6">
        <v>24552</v>
      </c>
      <c r="N2" s="7" t="s">
        <v>34</v>
      </c>
    </row>
    <row x14ac:dyDescent="0.25" r="3" customHeight="1" ht="18.75">
      <c r="A3" s="6">
        <v>2</v>
      </c>
      <c r="B3" s="7" t="s">
        <v>35</v>
      </c>
      <c r="C3" s="6">
        <v>4</v>
      </c>
      <c r="D3" s="7" t="s">
        <v>30</v>
      </c>
      <c r="E3" s="6">
        <v>4</v>
      </c>
      <c r="F3" s="7" t="s">
        <v>36</v>
      </c>
      <c r="G3" s="7" t="s">
        <v>37</v>
      </c>
      <c r="H3" s="6">
        <v>1</v>
      </c>
      <c r="I3" s="8">
        <f>VLOOKUP(E3,diagnosis!$A$1:$B$11,2,FALSE)</f>
      </c>
      <c r="J3" s="8">
        <f>VLOOKUP(H3,outcomes!$A$1:$B$4,2,FALSE)</f>
      </c>
      <c r="K3" s="6">
        <f>G3-F3</f>
      </c>
      <c r="L3" s="7" t="s">
        <v>38</v>
      </c>
      <c r="M3" s="6">
        <v>5066</v>
      </c>
      <c r="N3" s="7" t="s">
        <v>39</v>
      </c>
    </row>
    <row x14ac:dyDescent="0.25" r="4" customHeight="1" ht="18.75">
      <c r="A4" s="6">
        <v>3</v>
      </c>
      <c r="B4" s="7" t="s">
        <v>40</v>
      </c>
      <c r="C4" s="6">
        <v>54</v>
      </c>
      <c r="D4" s="7" t="s">
        <v>30</v>
      </c>
      <c r="E4" s="6">
        <v>8</v>
      </c>
      <c r="F4" s="7" t="s">
        <v>41</v>
      </c>
      <c r="G4" s="7" t="s">
        <v>42</v>
      </c>
      <c r="H4" s="6">
        <v>3</v>
      </c>
      <c r="I4" s="8">
        <f>VLOOKUP(E4,diagnosis!$A$1:$B$11,2,FALSE)</f>
      </c>
      <c r="J4" s="8">
        <f>VLOOKUP(H4,outcomes!$A$1:$B$4,2,FALSE)</f>
      </c>
      <c r="K4" s="6">
        <f>G4-F4</f>
      </c>
      <c r="L4" s="7" t="s">
        <v>33</v>
      </c>
      <c r="M4" s="6">
        <v>52884</v>
      </c>
      <c r="N4" s="7" t="s">
        <v>34</v>
      </c>
    </row>
    <row x14ac:dyDescent="0.25" r="5" customHeight="1" ht="18.75">
      <c r="A5" s="6">
        <v>4</v>
      </c>
      <c r="B5" s="7" t="s">
        <v>43</v>
      </c>
      <c r="C5" s="6">
        <v>36</v>
      </c>
      <c r="D5" s="7" t="s">
        <v>30</v>
      </c>
      <c r="E5" s="6">
        <v>4</v>
      </c>
      <c r="F5" s="7" t="s">
        <v>44</v>
      </c>
      <c r="G5" s="7" t="s">
        <v>45</v>
      </c>
      <c r="H5" s="6">
        <v>2</v>
      </c>
      <c r="I5" s="8">
        <f>VLOOKUP(E5,diagnosis!$A$1:$B$11,2,FALSE)</f>
      </c>
      <c r="J5" s="8">
        <f>VLOOKUP(H5,outcomes!$A$1:$B$4,2,FALSE)</f>
      </c>
      <c r="K5" s="6">
        <f>G5-F5</f>
      </c>
      <c r="L5" s="7" t="s">
        <v>33</v>
      </c>
      <c r="M5" s="6">
        <v>26774</v>
      </c>
      <c r="N5" s="7" t="s">
        <v>34</v>
      </c>
    </row>
    <row x14ac:dyDescent="0.25" r="6" customHeight="1" ht="18.75">
      <c r="A6" s="6">
        <v>5</v>
      </c>
      <c r="B6" s="7" t="s">
        <v>46</v>
      </c>
      <c r="C6" s="6">
        <v>45</v>
      </c>
      <c r="D6" s="7" t="s">
        <v>47</v>
      </c>
      <c r="E6" s="6">
        <v>1</v>
      </c>
      <c r="F6" s="7" t="s">
        <v>48</v>
      </c>
      <c r="G6" s="7" t="s">
        <v>49</v>
      </c>
      <c r="H6" s="6">
        <v>3</v>
      </c>
      <c r="I6" s="8">
        <f>VLOOKUP(E6,diagnosis!$A$1:$B$11,2,FALSE)</f>
      </c>
      <c r="J6" s="8">
        <f>VLOOKUP(H6,outcomes!$A$1:$B$4,2,FALSE)</f>
      </c>
      <c r="K6" s="6">
        <f>G6-F6</f>
      </c>
      <c r="L6" s="7" t="s">
        <v>33</v>
      </c>
      <c r="M6" s="6">
        <v>43884</v>
      </c>
      <c r="N6" s="7" t="s">
        <v>50</v>
      </c>
    </row>
    <row x14ac:dyDescent="0.25" r="7" customHeight="1" ht="18.75">
      <c r="A7" s="6">
        <v>6</v>
      </c>
      <c r="B7" s="7" t="s">
        <v>51</v>
      </c>
      <c r="C7" s="6">
        <v>71</v>
      </c>
      <c r="D7" s="7" t="s">
        <v>47</v>
      </c>
      <c r="E7" s="6">
        <v>10</v>
      </c>
      <c r="F7" s="7" t="s">
        <v>52</v>
      </c>
      <c r="G7" s="7" t="s">
        <v>53</v>
      </c>
      <c r="H7" s="6">
        <v>2</v>
      </c>
      <c r="I7" s="8">
        <f>VLOOKUP(E7,diagnosis!$A$1:$B$11,2,FALSE)</f>
      </c>
      <c r="J7" s="8">
        <f>VLOOKUP(H7,outcomes!$A$1:$B$4,2,FALSE)</f>
      </c>
      <c r="K7" s="6">
        <f>G7-F7</f>
      </c>
      <c r="L7" s="7" t="s">
        <v>33</v>
      </c>
      <c r="M7" s="6">
        <v>12501</v>
      </c>
      <c r="N7" s="7" t="s">
        <v>39</v>
      </c>
    </row>
    <row x14ac:dyDescent="0.25" r="8" customHeight="1" ht="18.75">
      <c r="A8" s="6">
        <v>7</v>
      </c>
      <c r="B8" s="7" t="s">
        <v>54</v>
      </c>
      <c r="C8" s="6">
        <v>38</v>
      </c>
      <c r="D8" s="7" t="s">
        <v>30</v>
      </c>
      <c r="E8" s="6">
        <v>4</v>
      </c>
      <c r="F8" s="7" t="s">
        <v>55</v>
      </c>
      <c r="G8" s="7" t="s">
        <v>56</v>
      </c>
      <c r="H8" s="6">
        <v>1</v>
      </c>
      <c r="I8" s="8">
        <f>VLOOKUP(E8,diagnosis!$A$1:$B$11,2,FALSE)</f>
      </c>
      <c r="J8" s="8">
        <f>VLOOKUP(H8,outcomes!$A$1:$B$4,2,FALSE)</f>
      </c>
      <c r="K8" s="6">
        <f>G8-F8</f>
      </c>
      <c r="L8" s="7" t="s">
        <v>33</v>
      </c>
      <c r="M8" s="6">
        <v>33688</v>
      </c>
      <c r="N8" s="7" t="s">
        <v>34</v>
      </c>
    </row>
    <row x14ac:dyDescent="0.25" r="9" customHeight="1" ht="18.75">
      <c r="A9" s="6">
        <v>8</v>
      </c>
      <c r="B9" s="7" t="s">
        <v>57</v>
      </c>
      <c r="C9" s="6">
        <v>48</v>
      </c>
      <c r="D9" s="7" t="s">
        <v>47</v>
      </c>
      <c r="E9" s="6">
        <v>4</v>
      </c>
      <c r="F9" s="7" t="s">
        <v>58</v>
      </c>
      <c r="G9" s="7" t="s">
        <v>59</v>
      </c>
      <c r="H9" s="6">
        <v>3</v>
      </c>
      <c r="I9" s="8">
        <f>VLOOKUP(E9,diagnosis!$A$1:$B$11,2,FALSE)</f>
      </c>
      <c r="J9" s="8">
        <f>VLOOKUP(H9,outcomes!$A$1:$B$4,2,FALSE)</f>
      </c>
      <c r="K9" s="6">
        <f>G9-F9</f>
      </c>
      <c r="L9" s="7" t="s">
        <v>60</v>
      </c>
      <c r="M9" s="6">
        <v>27948</v>
      </c>
      <c r="N9" s="7" t="s">
        <v>50</v>
      </c>
    </row>
    <row x14ac:dyDescent="0.25" r="10" customHeight="1" ht="18.75">
      <c r="A10" s="6">
        <v>9</v>
      </c>
      <c r="B10" s="7" t="s">
        <v>61</v>
      </c>
      <c r="C10" s="6">
        <v>32</v>
      </c>
      <c r="D10" s="7" t="s">
        <v>30</v>
      </c>
      <c r="E10" s="6">
        <v>8</v>
      </c>
      <c r="F10" s="7" t="s">
        <v>62</v>
      </c>
      <c r="G10" s="7" t="s">
        <v>63</v>
      </c>
      <c r="H10" s="6">
        <v>2</v>
      </c>
      <c r="I10" s="8">
        <f>VLOOKUP(E10,diagnosis!$A$1:$B$11,2,FALSE)</f>
      </c>
      <c r="J10" s="8">
        <f>VLOOKUP(H10,outcomes!$A$1:$B$4,2,FALSE)</f>
      </c>
      <c r="K10" s="6">
        <f>G10-F10</f>
      </c>
      <c r="L10" s="7" t="s">
        <v>33</v>
      </c>
      <c r="M10" s="6">
        <v>46854</v>
      </c>
      <c r="N10" s="7" t="s">
        <v>34</v>
      </c>
    </row>
    <row x14ac:dyDescent="0.25" r="11" customHeight="1" ht="18.75">
      <c r="A11" s="6">
        <v>10</v>
      </c>
      <c r="B11" s="7" t="s">
        <v>64</v>
      </c>
      <c r="C11" s="6">
        <v>30</v>
      </c>
      <c r="D11" s="7" t="s">
        <v>30</v>
      </c>
      <c r="E11" s="6">
        <v>6</v>
      </c>
      <c r="F11" s="7" t="s">
        <v>65</v>
      </c>
      <c r="G11" s="7" t="s">
        <v>66</v>
      </c>
      <c r="H11" s="6">
        <v>2</v>
      </c>
      <c r="I11" s="8">
        <f>VLOOKUP(E11,diagnosis!$A$1:$B$11,2,FALSE)</f>
      </c>
      <c r="J11" s="8">
        <f>VLOOKUP(H11,outcomes!$A$1:$B$4,2,FALSE)</f>
      </c>
      <c r="K11" s="6">
        <f>G11-F11</f>
      </c>
      <c r="L11" s="7" t="s">
        <v>38</v>
      </c>
      <c r="M11" s="6">
        <v>4962</v>
      </c>
      <c r="N11" s="7" t="s">
        <v>39</v>
      </c>
    </row>
    <row x14ac:dyDescent="0.25" r="12" customHeight="1" ht="18.75">
      <c r="A12" s="6">
        <v>11</v>
      </c>
      <c r="B12" s="7" t="s">
        <v>67</v>
      </c>
      <c r="C12" s="6">
        <v>84</v>
      </c>
      <c r="D12" s="7" t="s">
        <v>47</v>
      </c>
      <c r="E12" s="6">
        <v>7</v>
      </c>
      <c r="F12" s="7" t="s">
        <v>68</v>
      </c>
      <c r="G12" s="7" t="s">
        <v>69</v>
      </c>
      <c r="H12" s="6">
        <v>3</v>
      </c>
      <c r="I12" s="8">
        <f>VLOOKUP(E12,diagnosis!$A$1:$B$11,2,FALSE)</f>
      </c>
      <c r="J12" s="8">
        <f>VLOOKUP(H12,outcomes!$A$1:$B$4,2,FALSE)</f>
      </c>
      <c r="K12" s="6">
        <f>G12-F12</f>
      </c>
      <c r="L12" s="7" t="s">
        <v>33</v>
      </c>
      <c r="M12" s="6">
        <v>26257</v>
      </c>
      <c r="N12" s="7" t="s">
        <v>39</v>
      </c>
    </row>
    <row x14ac:dyDescent="0.25" r="13" customHeight="1" ht="18.75">
      <c r="A13" s="6">
        <v>12</v>
      </c>
      <c r="B13" s="7" t="s">
        <v>70</v>
      </c>
      <c r="C13" s="6">
        <v>72</v>
      </c>
      <c r="D13" s="7" t="s">
        <v>47</v>
      </c>
      <c r="E13" s="6">
        <v>10</v>
      </c>
      <c r="F13" s="7" t="s">
        <v>71</v>
      </c>
      <c r="G13" s="7" t="s">
        <v>72</v>
      </c>
      <c r="H13" s="6">
        <v>2</v>
      </c>
      <c r="I13" s="8">
        <f>VLOOKUP(E13,diagnosis!$A$1:$B$11,2,FALSE)</f>
      </c>
      <c r="J13" s="8">
        <f>VLOOKUP(H13,outcomes!$A$1:$B$4,2,FALSE)</f>
      </c>
      <c r="K13" s="6">
        <f>G13-F13</f>
      </c>
      <c r="L13" s="7" t="s">
        <v>33</v>
      </c>
      <c r="M13" s="6">
        <v>16208</v>
      </c>
      <c r="N13" s="7" t="s">
        <v>39</v>
      </c>
    </row>
    <row x14ac:dyDescent="0.25" r="14" customHeight="1" ht="18.75">
      <c r="A14" s="6">
        <v>13</v>
      </c>
      <c r="B14" s="7" t="s">
        <v>73</v>
      </c>
      <c r="C14" s="6">
        <v>66</v>
      </c>
      <c r="D14" s="7" t="s">
        <v>47</v>
      </c>
      <c r="E14" s="6">
        <v>2</v>
      </c>
      <c r="F14" s="7" t="s">
        <v>74</v>
      </c>
      <c r="G14" s="7" t="s">
        <v>75</v>
      </c>
      <c r="H14" s="6">
        <v>1</v>
      </c>
      <c r="I14" s="8">
        <f>VLOOKUP(E14,diagnosis!$A$1:$B$11,2,FALSE)</f>
      </c>
      <c r="J14" s="8">
        <f>VLOOKUP(H14,outcomes!$A$1:$B$4,2,FALSE)</f>
      </c>
      <c r="K14" s="6">
        <f>G14-F14</f>
      </c>
      <c r="L14" s="7" t="s">
        <v>33</v>
      </c>
      <c r="M14" s="6">
        <v>11540</v>
      </c>
      <c r="N14" s="7" t="s">
        <v>39</v>
      </c>
    </row>
    <row x14ac:dyDescent="0.25" r="15" customHeight="1" ht="18.75">
      <c r="A15" s="6">
        <v>14</v>
      </c>
      <c r="B15" s="7" t="s">
        <v>76</v>
      </c>
      <c r="C15" s="6">
        <v>9</v>
      </c>
      <c r="D15" s="7" t="s">
        <v>47</v>
      </c>
      <c r="E15" s="6">
        <v>7</v>
      </c>
      <c r="F15" s="7" t="s">
        <v>36</v>
      </c>
      <c r="G15" s="7" t="s">
        <v>77</v>
      </c>
      <c r="H15" s="6">
        <v>3</v>
      </c>
      <c r="I15" s="8">
        <f>VLOOKUP(E15,diagnosis!$A$1:$B$11,2,FALSE)</f>
      </c>
      <c r="J15" s="8">
        <f>VLOOKUP(H15,outcomes!$A$1:$B$4,2,FALSE)</f>
      </c>
      <c r="K15" s="6">
        <f>G15-F15</f>
      </c>
      <c r="L15" s="7" t="s">
        <v>33</v>
      </c>
      <c r="M15" s="6">
        <v>72360</v>
      </c>
      <c r="N15" s="7" t="s">
        <v>34</v>
      </c>
    </row>
    <row x14ac:dyDescent="0.25" r="16" customHeight="1" ht="18.75">
      <c r="A16" s="6">
        <v>15</v>
      </c>
      <c r="B16" s="7" t="s">
        <v>78</v>
      </c>
      <c r="C16" s="6">
        <v>88</v>
      </c>
      <c r="D16" s="7" t="s">
        <v>47</v>
      </c>
      <c r="E16" s="6">
        <v>6</v>
      </c>
      <c r="F16" s="7" t="s">
        <v>79</v>
      </c>
      <c r="G16" s="7" t="s">
        <v>80</v>
      </c>
      <c r="H16" s="6">
        <v>1</v>
      </c>
      <c r="I16" s="8">
        <f>VLOOKUP(E16,diagnosis!$A$1:$B$11,2,FALSE)</f>
      </c>
      <c r="J16" s="8">
        <f>VLOOKUP(H16,outcomes!$A$1:$B$4,2,FALSE)</f>
      </c>
      <c r="K16" s="6">
        <f>G16-F16</f>
      </c>
      <c r="L16" s="7" t="s">
        <v>33</v>
      </c>
      <c r="M16" s="6">
        <v>18328</v>
      </c>
      <c r="N16" s="7" t="s">
        <v>34</v>
      </c>
    </row>
    <row x14ac:dyDescent="0.25" r="17" customHeight="1" ht="18.75">
      <c r="A17" s="6">
        <v>16</v>
      </c>
      <c r="B17" s="7" t="s">
        <v>81</v>
      </c>
      <c r="C17" s="6">
        <v>34</v>
      </c>
      <c r="D17" s="7" t="s">
        <v>30</v>
      </c>
      <c r="E17" s="6">
        <v>9</v>
      </c>
      <c r="F17" s="7" t="s">
        <v>82</v>
      </c>
      <c r="G17" s="7" t="s">
        <v>83</v>
      </c>
      <c r="H17" s="6">
        <v>1</v>
      </c>
      <c r="I17" s="8">
        <f>VLOOKUP(E17,diagnosis!$A$1:$B$11,2,FALSE)</f>
      </c>
      <c r="J17" s="8">
        <f>VLOOKUP(H17,outcomes!$A$1:$B$4,2,FALSE)</f>
      </c>
      <c r="K17" s="6">
        <f>G17-F17</f>
      </c>
      <c r="L17" s="7" t="s">
        <v>33</v>
      </c>
      <c r="M17" s="6">
        <v>3962</v>
      </c>
      <c r="N17" s="7" t="s">
        <v>50</v>
      </c>
    </row>
    <row x14ac:dyDescent="0.25" r="18" customHeight="1" ht="18.75">
      <c r="A18" s="6">
        <v>17</v>
      </c>
      <c r="B18" s="7" t="s">
        <v>84</v>
      </c>
      <c r="C18" s="6">
        <v>48</v>
      </c>
      <c r="D18" s="7" t="s">
        <v>30</v>
      </c>
      <c r="E18" s="6">
        <v>9</v>
      </c>
      <c r="F18" s="7" t="s">
        <v>41</v>
      </c>
      <c r="G18" s="7" t="s">
        <v>85</v>
      </c>
      <c r="H18" s="6">
        <v>3</v>
      </c>
      <c r="I18" s="8">
        <f>VLOOKUP(E18,diagnosis!$A$1:$B$11,2,FALSE)</f>
      </c>
      <c r="J18" s="8">
        <f>VLOOKUP(H18,outcomes!$A$1:$B$4,2,FALSE)</f>
      </c>
      <c r="K18" s="6">
        <f>G18-F18</f>
      </c>
      <c r="L18" s="7" t="s">
        <v>60</v>
      </c>
      <c r="M18" s="6">
        <v>13965</v>
      </c>
      <c r="N18" s="7" t="s">
        <v>34</v>
      </c>
    </row>
    <row x14ac:dyDescent="0.25" r="19" customHeight="1" ht="18.75">
      <c r="A19" s="6">
        <v>18</v>
      </c>
      <c r="B19" s="7" t="s">
        <v>86</v>
      </c>
      <c r="C19" s="6">
        <v>15</v>
      </c>
      <c r="D19" s="7" t="s">
        <v>47</v>
      </c>
      <c r="E19" s="6">
        <v>5</v>
      </c>
      <c r="F19" s="7" t="s">
        <v>87</v>
      </c>
      <c r="G19" s="7" t="s">
        <v>88</v>
      </c>
      <c r="H19" s="6">
        <v>1</v>
      </c>
      <c r="I19" s="8">
        <f>VLOOKUP(E19,diagnosis!$A$1:$B$11,2,FALSE)</f>
      </c>
      <c r="J19" s="8">
        <f>VLOOKUP(H19,outcomes!$A$1:$B$4,2,FALSE)</f>
      </c>
      <c r="K19" s="6">
        <f>G19-F19</f>
      </c>
      <c r="L19" s="7" t="s">
        <v>38</v>
      </c>
      <c r="M19" s="6">
        <v>2556</v>
      </c>
      <c r="N19" s="7" t="s">
        <v>34</v>
      </c>
    </row>
    <row x14ac:dyDescent="0.25" r="20" customHeight="1" ht="18.75">
      <c r="A20" s="6">
        <v>19</v>
      </c>
      <c r="B20" s="7" t="s">
        <v>89</v>
      </c>
      <c r="C20" s="6">
        <v>63</v>
      </c>
      <c r="D20" s="7" t="s">
        <v>30</v>
      </c>
      <c r="E20" s="6">
        <v>9</v>
      </c>
      <c r="F20" s="7" t="s">
        <v>90</v>
      </c>
      <c r="G20" s="7" t="s">
        <v>91</v>
      </c>
      <c r="H20" s="6">
        <v>1</v>
      </c>
      <c r="I20" s="8">
        <f>VLOOKUP(E20,diagnosis!$A$1:$B$11,2,FALSE)</f>
      </c>
      <c r="J20" s="8">
        <f>VLOOKUP(H20,outcomes!$A$1:$B$4,2,FALSE)</f>
      </c>
      <c r="K20" s="6">
        <f>G20-F20</f>
      </c>
      <c r="L20" s="7" t="s">
        <v>33</v>
      </c>
      <c r="M20" s="6">
        <v>9384</v>
      </c>
      <c r="N20" s="7" t="s">
        <v>50</v>
      </c>
    </row>
    <row x14ac:dyDescent="0.25" r="21" customHeight="1" ht="18.75">
      <c r="A21" s="6">
        <v>20</v>
      </c>
      <c r="B21" s="7" t="s">
        <v>92</v>
      </c>
      <c r="C21" s="6">
        <v>68</v>
      </c>
      <c r="D21" s="7" t="s">
        <v>47</v>
      </c>
      <c r="E21" s="6">
        <v>4</v>
      </c>
      <c r="F21" s="7" t="s">
        <v>93</v>
      </c>
      <c r="G21" s="7" t="s">
        <v>94</v>
      </c>
      <c r="H21" s="6">
        <v>3</v>
      </c>
      <c r="I21" s="8">
        <f>VLOOKUP(E21,diagnosis!$A$1:$B$11,2,FALSE)</f>
      </c>
      <c r="J21" s="8">
        <f>VLOOKUP(H21,outcomes!$A$1:$B$4,2,FALSE)</f>
      </c>
      <c r="K21" s="6">
        <f>G21-F21</f>
      </c>
      <c r="L21" s="7" t="s">
        <v>33</v>
      </c>
      <c r="M21" s="6">
        <v>27504</v>
      </c>
      <c r="N21" s="7" t="s">
        <v>50</v>
      </c>
    </row>
    <row x14ac:dyDescent="0.25" r="22" customHeight="1" ht="18.75">
      <c r="A22" s="6">
        <v>21</v>
      </c>
      <c r="B22" s="7" t="s">
        <v>95</v>
      </c>
      <c r="C22" s="6">
        <v>57</v>
      </c>
      <c r="D22" s="7" t="s">
        <v>47</v>
      </c>
      <c r="E22" s="6">
        <v>2</v>
      </c>
      <c r="F22" s="7" t="s">
        <v>96</v>
      </c>
      <c r="G22" s="7" t="s">
        <v>97</v>
      </c>
      <c r="H22" s="6">
        <v>1</v>
      </c>
      <c r="I22" s="8">
        <f>VLOOKUP(E22,diagnosis!$A$1:$B$11,2,FALSE)</f>
      </c>
      <c r="J22" s="8">
        <f>VLOOKUP(H22,outcomes!$A$1:$B$4,2,FALSE)</f>
      </c>
      <c r="K22" s="6">
        <f>G22-F22</f>
      </c>
      <c r="L22" s="7" t="s">
        <v>33</v>
      </c>
      <c r="M22" s="6">
        <v>38340</v>
      </c>
      <c r="N22" s="7" t="s">
        <v>39</v>
      </c>
    </row>
    <row x14ac:dyDescent="0.25" r="23" customHeight="1" ht="18.75">
      <c r="A23" s="6">
        <v>22</v>
      </c>
      <c r="B23" s="7" t="s">
        <v>98</v>
      </c>
      <c r="C23" s="6">
        <v>71</v>
      </c>
      <c r="D23" s="7" t="s">
        <v>30</v>
      </c>
      <c r="E23" s="6">
        <v>10</v>
      </c>
      <c r="F23" s="7" t="s">
        <v>99</v>
      </c>
      <c r="G23" s="7" t="s">
        <v>100</v>
      </c>
      <c r="H23" s="6">
        <v>1</v>
      </c>
      <c r="I23" s="8">
        <f>VLOOKUP(E23,diagnosis!$A$1:$B$11,2,FALSE)</f>
      </c>
      <c r="J23" s="8">
        <f>VLOOKUP(H23,outcomes!$A$1:$B$4,2,FALSE)</f>
      </c>
      <c r="K23" s="6">
        <f>G23-F23</f>
      </c>
      <c r="L23" s="7" t="s">
        <v>33</v>
      </c>
      <c r="M23" s="6">
        <v>38703</v>
      </c>
      <c r="N23" s="7" t="s">
        <v>50</v>
      </c>
    </row>
    <row x14ac:dyDescent="0.25" r="24" customHeight="1" ht="18.75">
      <c r="A24" s="6">
        <v>23</v>
      </c>
      <c r="B24" s="7" t="s">
        <v>101</v>
      </c>
      <c r="C24" s="6">
        <v>5</v>
      </c>
      <c r="D24" s="7" t="s">
        <v>47</v>
      </c>
      <c r="E24" s="6">
        <v>2</v>
      </c>
      <c r="F24" s="7" t="s">
        <v>102</v>
      </c>
      <c r="G24" s="7" t="s">
        <v>103</v>
      </c>
      <c r="H24" s="6">
        <v>3</v>
      </c>
      <c r="I24" s="8">
        <f>VLOOKUP(E24,diagnosis!$A$1:$B$11,2,FALSE)</f>
      </c>
      <c r="J24" s="8">
        <f>VLOOKUP(H24,outcomes!$A$1:$B$4,2,FALSE)</f>
      </c>
      <c r="K24" s="6">
        <f>G24-F24</f>
      </c>
      <c r="L24" s="7" t="s">
        <v>38</v>
      </c>
      <c r="M24" s="6">
        <v>10275</v>
      </c>
      <c r="N24" s="7" t="s">
        <v>39</v>
      </c>
    </row>
    <row x14ac:dyDescent="0.25" r="25" customHeight="1" ht="18.75">
      <c r="A25" s="6">
        <v>24</v>
      </c>
      <c r="B25" s="7" t="s">
        <v>104</v>
      </c>
      <c r="C25" s="6">
        <v>17</v>
      </c>
      <c r="D25" s="7" t="s">
        <v>47</v>
      </c>
      <c r="E25" s="6">
        <v>4</v>
      </c>
      <c r="F25" s="7" t="s">
        <v>105</v>
      </c>
      <c r="G25" s="7" t="s">
        <v>106</v>
      </c>
      <c r="H25" s="6">
        <v>2</v>
      </c>
      <c r="I25" s="8">
        <f>VLOOKUP(E25,diagnosis!$A$1:$B$11,2,FALSE)</f>
      </c>
      <c r="J25" s="8">
        <f>VLOOKUP(H25,outcomes!$A$1:$B$4,2,FALSE)</f>
      </c>
      <c r="K25" s="6">
        <f>G25-F25</f>
      </c>
      <c r="L25" s="7" t="s">
        <v>33</v>
      </c>
      <c r="M25" s="6">
        <v>45504</v>
      </c>
      <c r="N25" s="7" t="s">
        <v>34</v>
      </c>
    </row>
    <row x14ac:dyDescent="0.25" r="26" customHeight="1" ht="18.75">
      <c r="A26" s="6">
        <v>25</v>
      </c>
      <c r="B26" s="7" t="s">
        <v>107</v>
      </c>
      <c r="C26" s="6">
        <v>46</v>
      </c>
      <c r="D26" s="7" t="s">
        <v>47</v>
      </c>
      <c r="E26" s="6">
        <v>7</v>
      </c>
      <c r="F26" s="7" t="s">
        <v>48</v>
      </c>
      <c r="G26" s="7" t="s">
        <v>108</v>
      </c>
      <c r="H26" s="6">
        <v>2</v>
      </c>
      <c r="I26" s="8">
        <f>VLOOKUP(E26,diagnosis!$A$1:$B$11,2,FALSE)</f>
      </c>
      <c r="J26" s="8">
        <f>VLOOKUP(H26,outcomes!$A$1:$B$4,2,FALSE)</f>
      </c>
      <c r="K26" s="6">
        <f>G26-F26</f>
      </c>
      <c r="L26" s="7" t="s">
        <v>33</v>
      </c>
      <c r="M26" s="6">
        <v>57778</v>
      </c>
      <c r="N26" s="7" t="s">
        <v>34</v>
      </c>
    </row>
    <row x14ac:dyDescent="0.25" r="27" customHeight="1" ht="18.75">
      <c r="A27" s="6">
        <v>26</v>
      </c>
      <c r="B27" s="7" t="s">
        <v>109</v>
      </c>
      <c r="C27" s="6">
        <v>44</v>
      </c>
      <c r="D27" s="7" t="s">
        <v>30</v>
      </c>
      <c r="E27" s="6">
        <v>4</v>
      </c>
      <c r="F27" s="7" t="s">
        <v>110</v>
      </c>
      <c r="G27" s="7" t="s">
        <v>111</v>
      </c>
      <c r="H27" s="6">
        <v>1</v>
      </c>
      <c r="I27" s="8">
        <f>VLOOKUP(E27,diagnosis!$A$1:$B$11,2,FALSE)</f>
      </c>
      <c r="J27" s="8">
        <f>VLOOKUP(H27,outcomes!$A$1:$B$4,2,FALSE)</f>
      </c>
      <c r="K27" s="6">
        <f>G27-F27</f>
      </c>
      <c r="L27" s="7" t="s">
        <v>33</v>
      </c>
      <c r="M27" s="6">
        <v>48672</v>
      </c>
      <c r="N27" s="7" t="s">
        <v>39</v>
      </c>
    </row>
    <row x14ac:dyDescent="0.25" r="28" customHeight="1" ht="18.75">
      <c r="A28" s="6">
        <v>27</v>
      </c>
      <c r="B28" s="7" t="s">
        <v>112</v>
      </c>
      <c r="C28" s="6">
        <v>24</v>
      </c>
      <c r="D28" s="7" t="s">
        <v>47</v>
      </c>
      <c r="E28" s="6">
        <v>8</v>
      </c>
      <c r="F28" s="7" t="s">
        <v>113</v>
      </c>
      <c r="G28" s="7" t="s">
        <v>114</v>
      </c>
      <c r="H28" s="6">
        <v>1</v>
      </c>
      <c r="I28" s="8">
        <f>VLOOKUP(E28,diagnosis!$A$1:$B$11,2,FALSE)</f>
      </c>
      <c r="J28" s="8">
        <f>VLOOKUP(H28,outcomes!$A$1:$B$4,2,FALSE)</f>
      </c>
      <c r="K28" s="6">
        <f>G28-F28</f>
      </c>
      <c r="L28" s="7" t="s">
        <v>33</v>
      </c>
      <c r="M28" s="6">
        <v>53718</v>
      </c>
      <c r="N28" s="7" t="s">
        <v>39</v>
      </c>
    </row>
    <row x14ac:dyDescent="0.25" r="29" customHeight="1" ht="18.75">
      <c r="A29" s="6">
        <v>28</v>
      </c>
      <c r="B29" s="7" t="s">
        <v>115</v>
      </c>
      <c r="C29" s="6">
        <v>84</v>
      </c>
      <c r="D29" s="7" t="s">
        <v>30</v>
      </c>
      <c r="E29" s="6">
        <v>2</v>
      </c>
      <c r="F29" s="7" t="s">
        <v>116</v>
      </c>
      <c r="G29" s="7" t="s">
        <v>117</v>
      </c>
      <c r="H29" s="6">
        <v>1</v>
      </c>
      <c r="I29" s="8">
        <f>VLOOKUP(E29,diagnosis!$A$1:$B$11,2,FALSE)</f>
      </c>
      <c r="J29" s="8">
        <f>VLOOKUP(H29,outcomes!$A$1:$B$4,2,FALSE)</f>
      </c>
      <c r="K29" s="6">
        <f>G29-F29</f>
      </c>
      <c r="L29" s="7" t="s">
        <v>33</v>
      </c>
      <c r="M29" s="6">
        <v>4280</v>
      </c>
      <c r="N29" s="7" t="s">
        <v>34</v>
      </c>
    </row>
    <row x14ac:dyDescent="0.25" r="30" customHeight="1" ht="18.75">
      <c r="A30" s="6">
        <v>29</v>
      </c>
      <c r="B30" s="7" t="s">
        <v>118</v>
      </c>
      <c r="C30" s="6">
        <v>52</v>
      </c>
      <c r="D30" s="7" t="s">
        <v>30</v>
      </c>
      <c r="E30" s="6">
        <v>3</v>
      </c>
      <c r="F30" s="7" t="s">
        <v>119</v>
      </c>
      <c r="G30" s="7" t="s">
        <v>120</v>
      </c>
      <c r="H30" s="6">
        <v>2</v>
      </c>
      <c r="I30" s="8">
        <f>VLOOKUP(E30,diagnosis!$A$1:$B$11,2,FALSE)</f>
      </c>
      <c r="J30" s="8">
        <f>VLOOKUP(H30,outcomes!$A$1:$B$4,2,FALSE)</f>
      </c>
      <c r="K30" s="6">
        <f>G30-F30</f>
      </c>
      <c r="L30" s="7" t="s">
        <v>60</v>
      </c>
      <c r="M30" s="6">
        <v>21280</v>
      </c>
      <c r="N30" s="7" t="s">
        <v>34</v>
      </c>
    </row>
    <row x14ac:dyDescent="0.25" r="31" customHeight="1" ht="18.75">
      <c r="A31" s="6">
        <v>30</v>
      </c>
      <c r="B31" s="7" t="s">
        <v>121</v>
      </c>
      <c r="C31" s="6">
        <v>55</v>
      </c>
      <c r="D31" s="7" t="s">
        <v>47</v>
      </c>
      <c r="E31" s="6">
        <v>3</v>
      </c>
      <c r="F31" s="7" t="s">
        <v>122</v>
      </c>
      <c r="G31" s="7" t="s">
        <v>123</v>
      </c>
      <c r="H31" s="6">
        <v>1</v>
      </c>
      <c r="I31" s="8">
        <f>VLOOKUP(E31,diagnosis!$A$1:$B$11,2,FALSE)</f>
      </c>
      <c r="J31" s="8">
        <f>VLOOKUP(H31,outcomes!$A$1:$B$4,2,FALSE)</f>
      </c>
      <c r="K31" s="6">
        <f>G31-F31</f>
      </c>
      <c r="L31" s="7" t="s">
        <v>33</v>
      </c>
      <c r="M31" s="6">
        <v>26940</v>
      </c>
      <c r="N31" s="7" t="s">
        <v>39</v>
      </c>
    </row>
    <row x14ac:dyDescent="0.25" r="32" customHeight="1" ht="18.75">
      <c r="A32" s="6">
        <v>31</v>
      </c>
      <c r="B32" s="7" t="s">
        <v>124</v>
      </c>
      <c r="C32" s="6">
        <v>8</v>
      </c>
      <c r="D32" s="7" t="s">
        <v>30</v>
      </c>
      <c r="E32" s="6">
        <v>10</v>
      </c>
      <c r="F32" s="7" t="s">
        <v>110</v>
      </c>
      <c r="G32" s="7" t="s">
        <v>125</v>
      </c>
      <c r="H32" s="6">
        <v>2</v>
      </c>
      <c r="I32" s="8">
        <f>VLOOKUP(E32,diagnosis!$A$1:$B$11,2,FALSE)</f>
      </c>
      <c r="J32" s="8">
        <f>VLOOKUP(H32,outcomes!$A$1:$B$4,2,FALSE)</f>
      </c>
      <c r="K32" s="6">
        <f>G32-F32</f>
      </c>
      <c r="L32" s="7" t="s">
        <v>33</v>
      </c>
      <c r="M32" s="6">
        <v>25773</v>
      </c>
      <c r="N32" s="7" t="s">
        <v>39</v>
      </c>
    </row>
    <row x14ac:dyDescent="0.25" r="33" customHeight="1" ht="18.75">
      <c r="A33" s="6">
        <v>32</v>
      </c>
      <c r="B33" s="7" t="s">
        <v>126</v>
      </c>
      <c r="C33" s="6">
        <v>11</v>
      </c>
      <c r="D33" s="7" t="s">
        <v>30</v>
      </c>
      <c r="E33" s="6">
        <v>2</v>
      </c>
      <c r="F33" s="7" t="s">
        <v>127</v>
      </c>
      <c r="G33" s="7" t="s">
        <v>128</v>
      </c>
      <c r="H33" s="6">
        <v>3</v>
      </c>
      <c r="I33" s="8">
        <f>VLOOKUP(E33,diagnosis!$A$1:$B$11,2,FALSE)</f>
      </c>
      <c r="J33" s="8">
        <f>VLOOKUP(H33,outcomes!$A$1:$B$4,2,FALSE)</f>
      </c>
      <c r="K33" s="6">
        <f>G33-F33</f>
      </c>
      <c r="L33" s="7" t="s">
        <v>33</v>
      </c>
      <c r="M33" s="6">
        <v>70907</v>
      </c>
      <c r="N33" s="7" t="s">
        <v>50</v>
      </c>
    </row>
    <row x14ac:dyDescent="0.25" r="34" customHeight="1" ht="18.75">
      <c r="A34" s="6">
        <v>33</v>
      </c>
      <c r="B34" s="7" t="s">
        <v>129</v>
      </c>
      <c r="C34" s="6">
        <v>32</v>
      </c>
      <c r="D34" s="7" t="s">
        <v>30</v>
      </c>
      <c r="E34" s="6">
        <v>10</v>
      </c>
      <c r="F34" s="7" t="s">
        <v>130</v>
      </c>
      <c r="G34" s="7" t="s">
        <v>131</v>
      </c>
      <c r="H34" s="6">
        <v>1</v>
      </c>
      <c r="I34" s="8">
        <f>VLOOKUP(E34,diagnosis!$A$1:$B$11,2,FALSE)</f>
      </c>
      <c r="J34" s="8">
        <f>VLOOKUP(H34,outcomes!$A$1:$B$4,2,FALSE)</f>
      </c>
      <c r="K34" s="6">
        <f>G34-F34</f>
      </c>
      <c r="L34" s="7" t="s">
        <v>33</v>
      </c>
      <c r="M34" s="6">
        <v>72219</v>
      </c>
      <c r="N34" s="7" t="s">
        <v>34</v>
      </c>
    </row>
    <row x14ac:dyDescent="0.25" r="35" customHeight="1" ht="18.75">
      <c r="A35" s="6">
        <v>34</v>
      </c>
      <c r="B35" s="7" t="s">
        <v>132</v>
      </c>
      <c r="C35" s="6">
        <v>34</v>
      </c>
      <c r="D35" s="7" t="s">
        <v>30</v>
      </c>
      <c r="E35" s="6">
        <v>6</v>
      </c>
      <c r="F35" s="7" t="s">
        <v>133</v>
      </c>
      <c r="G35" s="7" t="s">
        <v>134</v>
      </c>
      <c r="H35" s="6">
        <v>1</v>
      </c>
      <c r="I35" s="8">
        <f>VLOOKUP(E35,diagnosis!$A$1:$B$11,2,FALSE)</f>
      </c>
      <c r="J35" s="8">
        <f>VLOOKUP(H35,outcomes!$A$1:$B$4,2,FALSE)</f>
      </c>
      <c r="K35" s="6">
        <f>G35-F35</f>
      </c>
      <c r="L35" s="7" t="s">
        <v>33</v>
      </c>
      <c r="M35" s="6">
        <v>47212</v>
      </c>
      <c r="N35" s="7" t="s">
        <v>39</v>
      </c>
    </row>
    <row x14ac:dyDescent="0.25" r="36" customHeight="1" ht="18.75">
      <c r="A36" s="6">
        <v>35</v>
      </c>
      <c r="B36" s="7" t="s">
        <v>135</v>
      </c>
      <c r="C36" s="6">
        <v>41</v>
      </c>
      <c r="D36" s="7" t="s">
        <v>30</v>
      </c>
      <c r="E36" s="6">
        <v>1</v>
      </c>
      <c r="F36" s="7" t="s">
        <v>136</v>
      </c>
      <c r="G36" s="7" t="s">
        <v>137</v>
      </c>
      <c r="H36" s="6">
        <v>2</v>
      </c>
      <c r="I36" s="8">
        <f>VLOOKUP(E36,diagnosis!$A$1:$B$11,2,FALSE)</f>
      </c>
      <c r="J36" s="8">
        <f>VLOOKUP(H36,outcomes!$A$1:$B$4,2,FALSE)</f>
      </c>
      <c r="K36" s="6">
        <f>G36-F36</f>
      </c>
      <c r="L36" s="7" t="s">
        <v>33</v>
      </c>
      <c r="M36" s="6">
        <v>46365</v>
      </c>
      <c r="N36" s="7" t="s">
        <v>50</v>
      </c>
    </row>
    <row x14ac:dyDescent="0.25" r="37" customHeight="1" ht="18.75">
      <c r="A37" s="6">
        <v>36</v>
      </c>
      <c r="B37" s="7" t="s">
        <v>138</v>
      </c>
      <c r="C37" s="6">
        <v>28</v>
      </c>
      <c r="D37" s="7" t="s">
        <v>47</v>
      </c>
      <c r="E37" s="6">
        <v>3</v>
      </c>
      <c r="F37" s="7" t="s">
        <v>139</v>
      </c>
      <c r="G37" s="7" t="s">
        <v>140</v>
      </c>
      <c r="H37" s="6">
        <v>2</v>
      </c>
      <c r="I37" s="8">
        <f>VLOOKUP(E37,diagnosis!$A$1:$B$11,2,FALSE)</f>
      </c>
      <c r="J37" s="8">
        <f>VLOOKUP(H37,outcomes!$A$1:$B$4,2,FALSE)</f>
      </c>
      <c r="K37" s="6">
        <f>G37-F37</f>
      </c>
      <c r="L37" s="7" t="s">
        <v>33</v>
      </c>
      <c r="M37" s="6">
        <v>46962</v>
      </c>
      <c r="N37" s="7" t="s">
        <v>50</v>
      </c>
    </row>
    <row x14ac:dyDescent="0.25" r="38" customHeight="1" ht="18.75">
      <c r="A38" s="6">
        <v>37</v>
      </c>
      <c r="B38" s="7" t="s">
        <v>141</v>
      </c>
      <c r="C38" s="6">
        <v>57</v>
      </c>
      <c r="D38" s="7" t="s">
        <v>47</v>
      </c>
      <c r="E38" s="6">
        <v>10</v>
      </c>
      <c r="F38" s="7" t="s">
        <v>142</v>
      </c>
      <c r="G38" s="7" t="s">
        <v>143</v>
      </c>
      <c r="H38" s="6">
        <v>3</v>
      </c>
      <c r="I38" s="8">
        <f>VLOOKUP(E38,diagnosis!$A$1:$B$11,2,FALSE)</f>
      </c>
      <c r="J38" s="8">
        <f>VLOOKUP(H38,outcomes!$A$1:$B$4,2,FALSE)</f>
      </c>
      <c r="K38" s="6">
        <f>G38-F38</f>
      </c>
      <c r="L38" s="7" t="s">
        <v>60</v>
      </c>
      <c r="M38" s="6">
        <v>15840</v>
      </c>
      <c r="N38" s="7" t="s">
        <v>50</v>
      </c>
    </row>
    <row x14ac:dyDescent="0.25" r="39" customHeight="1" ht="18.75">
      <c r="A39" s="6">
        <v>38</v>
      </c>
      <c r="B39" s="7" t="s">
        <v>144</v>
      </c>
      <c r="C39" s="6">
        <v>18</v>
      </c>
      <c r="D39" s="7" t="s">
        <v>47</v>
      </c>
      <c r="E39" s="6">
        <v>2</v>
      </c>
      <c r="F39" s="7" t="s">
        <v>145</v>
      </c>
      <c r="G39" s="7" t="s">
        <v>146</v>
      </c>
      <c r="H39" s="6">
        <v>1</v>
      </c>
      <c r="I39" s="8">
        <f>VLOOKUP(E39,diagnosis!$A$1:$B$11,2,FALSE)</f>
      </c>
      <c r="J39" s="8">
        <f>VLOOKUP(H39,outcomes!$A$1:$B$4,2,FALSE)</f>
      </c>
      <c r="K39" s="6">
        <f>G39-F39</f>
      </c>
      <c r="L39" s="7" t="s">
        <v>33</v>
      </c>
      <c r="M39" s="6">
        <v>18612</v>
      </c>
      <c r="N39" s="7" t="s">
        <v>39</v>
      </c>
    </row>
    <row x14ac:dyDescent="0.25" r="40" customHeight="1" ht="18.75">
      <c r="A40" s="6">
        <v>39</v>
      </c>
      <c r="B40" s="7" t="s">
        <v>147</v>
      </c>
      <c r="C40" s="6">
        <v>78</v>
      </c>
      <c r="D40" s="7" t="s">
        <v>30</v>
      </c>
      <c r="E40" s="6">
        <v>6</v>
      </c>
      <c r="F40" s="7" t="s">
        <v>148</v>
      </c>
      <c r="G40" s="7" t="s">
        <v>149</v>
      </c>
      <c r="H40" s="6">
        <v>1</v>
      </c>
      <c r="I40" s="8">
        <f>VLOOKUP(E40,diagnosis!$A$1:$B$11,2,FALSE)</f>
      </c>
      <c r="J40" s="8">
        <f>VLOOKUP(H40,outcomes!$A$1:$B$4,2,FALSE)</f>
      </c>
      <c r="K40" s="6">
        <f>G40-F40</f>
      </c>
      <c r="L40" s="7" t="s">
        <v>33</v>
      </c>
      <c r="M40" s="6">
        <v>32250</v>
      </c>
      <c r="N40" s="7" t="s">
        <v>34</v>
      </c>
    </row>
    <row x14ac:dyDescent="0.25" r="41" customHeight="1" ht="18.75">
      <c r="A41" s="6">
        <v>40</v>
      </c>
      <c r="B41" s="7" t="s">
        <v>150</v>
      </c>
      <c r="C41" s="6">
        <v>7</v>
      </c>
      <c r="D41" s="7" t="s">
        <v>30</v>
      </c>
      <c r="E41" s="6">
        <v>7</v>
      </c>
      <c r="F41" s="7" t="s">
        <v>87</v>
      </c>
      <c r="G41" s="7" t="s">
        <v>151</v>
      </c>
      <c r="H41" s="6">
        <v>2</v>
      </c>
      <c r="I41" s="8">
        <f>VLOOKUP(E41,diagnosis!$A$1:$B$11,2,FALSE)</f>
      </c>
      <c r="J41" s="8">
        <f>VLOOKUP(H41,outcomes!$A$1:$B$4,2,FALSE)</f>
      </c>
      <c r="K41" s="6">
        <f>G41-F41</f>
      </c>
      <c r="L41" s="7" t="s">
        <v>33</v>
      </c>
      <c r="M41" s="6">
        <v>19818</v>
      </c>
      <c r="N41" s="7" t="s">
        <v>34</v>
      </c>
    </row>
    <row x14ac:dyDescent="0.25" r="42" customHeight="1" ht="18.75">
      <c r="A42" s="6">
        <v>41</v>
      </c>
      <c r="B42" s="7" t="s">
        <v>152</v>
      </c>
      <c r="C42" s="6">
        <v>21</v>
      </c>
      <c r="D42" s="7" t="s">
        <v>47</v>
      </c>
      <c r="E42" s="6">
        <v>9</v>
      </c>
      <c r="F42" s="7" t="s">
        <v>153</v>
      </c>
      <c r="G42" s="7" t="s">
        <v>154</v>
      </c>
      <c r="H42" s="6">
        <v>3</v>
      </c>
      <c r="I42" s="8">
        <f>VLOOKUP(E42,diagnosis!$A$1:$B$11,2,FALSE)</f>
      </c>
      <c r="J42" s="8">
        <f>VLOOKUP(H42,outcomes!$A$1:$B$4,2,FALSE)</f>
      </c>
      <c r="K42" s="6">
        <f>G42-F42</f>
      </c>
      <c r="L42" s="7" t="s">
        <v>33</v>
      </c>
      <c r="M42" s="6">
        <v>28917</v>
      </c>
      <c r="N42" s="7" t="s">
        <v>50</v>
      </c>
    </row>
    <row x14ac:dyDescent="0.25" r="43" customHeight="1" ht="18.75">
      <c r="A43" s="6">
        <v>42</v>
      </c>
      <c r="B43" s="7" t="s">
        <v>155</v>
      </c>
      <c r="C43" s="6">
        <v>89</v>
      </c>
      <c r="D43" s="7" t="s">
        <v>30</v>
      </c>
      <c r="E43" s="6">
        <v>9</v>
      </c>
      <c r="F43" s="7" t="s">
        <v>156</v>
      </c>
      <c r="G43" s="7" t="s">
        <v>157</v>
      </c>
      <c r="H43" s="6">
        <v>1</v>
      </c>
      <c r="I43" s="8">
        <f>VLOOKUP(E43,diagnosis!$A$1:$B$11,2,FALSE)</f>
      </c>
      <c r="J43" s="8">
        <f>VLOOKUP(H43,outcomes!$A$1:$B$4,2,FALSE)</f>
      </c>
      <c r="K43" s="6">
        <f>G43-F43</f>
      </c>
      <c r="L43" s="7" t="s">
        <v>33</v>
      </c>
      <c r="M43" s="6">
        <v>6627</v>
      </c>
      <c r="N43" s="7" t="s">
        <v>34</v>
      </c>
    </row>
    <row x14ac:dyDescent="0.25" r="44" customHeight="1" ht="18.75">
      <c r="A44" s="6">
        <v>43</v>
      </c>
      <c r="B44" s="7" t="s">
        <v>158</v>
      </c>
      <c r="C44" s="6">
        <v>17</v>
      </c>
      <c r="D44" s="7" t="s">
        <v>30</v>
      </c>
      <c r="E44" s="6">
        <v>5</v>
      </c>
      <c r="F44" s="7" t="s">
        <v>159</v>
      </c>
      <c r="G44" s="7" t="s">
        <v>160</v>
      </c>
      <c r="H44" s="6">
        <v>2</v>
      </c>
      <c r="I44" s="8">
        <f>VLOOKUP(E44,diagnosis!$A$1:$B$11,2,FALSE)</f>
      </c>
      <c r="J44" s="8">
        <f>VLOOKUP(H44,outcomes!$A$1:$B$4,2,FALSE)</f>
      </c>
      <c r="K44" s="6">
        <f>G44-F44</f>
      </c>
      <c r="L44" s="7" t="s">
        <v>33</v>
      </c>
      <c r="M44" s="6">
        <v>47600</v>
      </c>
      <c r="N44" s="7" t="s">
        <v>50</v>
      </c>
    </row>
    <row x14ac:dyDescent="0.25" r="45" customHeight="1" ht="18.75">
      <c r="A45" s="6">
        <v>44</v>
      </c>
      <c r="B45" s="7" t="s">
        <v>161</v>
      </c>
      <c r="C45" s="6">
        <v>46</v>
      </c>
      <c r="D45" s="7" t="s">
        <v>47</v>
      </c>
      <c r="E45" s="6">
        <v>10</v>
      </c>
      <c r="F45" s="7" t="s">
        <v>162</v>
      </c>
      <c r="G45" s="7" t="s">
        <v>163</v>
      </c>
      <c r="H45" s="6">
        <v>3</v>
      </c>
      <c r="I45" s="8">
        <f>VLOOKUP(E45,diagnosis!$A$1:$B$11,2,FALSE)</f>
      </c>
      <c r="J45" s="8">
        <f>VLOOKUP(H45,outcomes!$A$1:$B$4,2,FALSE)</f>
      </c>
      <c r="K45" s="6">
        <f>G45-F45</f>
      </c>
      <c r="L45" s="7" t="s">
        <v>33</v>
      </c>
      <c r="M45" s="6">
        <v>11784</v>
      </c>
      <c r="N45" s="7" t="s">
        <v>39</v>
      </c>
    </row>
    <row x14ac:dyDescent="0.25" r="46" customHeight="1" ht="18.75">
      <c r="A46" s="6">
        <v>45</v>
      </c>
      <c r="B46" s="7" t="s">
        <v>164</v>
      </c>
      <c r="C46" s="6">
        <v>4</v>
      </c>
      <c r="D46" s="7" t="s">
        <v>30</v>
      </c>
      <c r="E46" s="6">
        <v>6</v>
      </c>
      <c r="F46" s="7" t="s">
        <v>165</v>
      </c>
      <c r="G46" s="7" t="s">
        <v>166</v>
      </c>
      <c r="H46" s="6">
        <v>2</v>
      </c>
      <c r="I46" s="8">
        <f>VLOOKUP(E46,diagnosis!$A$1:$B$11,2,FALSE)</f>
      </c>
      <c r="J46" s="8">
        <f>VLOOKUP(H46,outcomes!$A$1:$B$4,2,FALSE)</f>
      </c>
      <c r="K46" s="6">
        <f>G46-F46</f>
      </c>
      <c r="L46" s="7" t="s">
        <v>33</v>
      </c>
      <c r="M46" s="6">
        <v>50498</v>
      </c>
      <c r="N46" s="7" t="s">
        <v>34</v>
      </c>
    </row>
    <row x14ac:dyDescent="0.25" r="47" customHeight="1" ht="18.75">
      <c r="A47" s="6">
        <v>46</v>
      </c>
      <c r="B47" s="7" t="s">
        <v>167</v>
      </c>
      <c r="C47" s="6">
        <v>49</v>
      </c>
      <c r="D47" s="7" t="s">
        <v>30</v>
      </c>
      <c r="E47" s="6">
        <v>8</v>
      </c>
      <c r="F47" s="7" t="s">
        <v>168</v>
      </c>
      <c r="G47" s="7" t="s">
        <v>169</v>
      </c>
      <c r="H47" s="6">
        <v>1</v>
      </c>
      <c r="I47" s="8">
        <f>VLOOKUP(E47,diagnosis!$A$1:$B$11,2,FALSE)</f>
      </c>
      <c r="J47" s="8">
        <f>VLOOKUP(H47,outcomes!$A$1:$B$4,2,FALSE)</f>
      </c>
      <c r="K47" s="6">
        <f>G47-F47</f>
      </c>
      <c r="L47" s="7" t="s">
        <v>60</v>
      </c>
      <c r="M47" s="6">
        <v>16068</v>
      </c>
      <c r="N47" s="7" t="s">
        <v>50</v>
      </c>
    </row>
    <row x14ac:dyDescent="0.25" r="48" customHeight="1" ht="18.75">
      <c r="A48" s="6">
        <v>47</v>
      </c>
      <c r="B48" s="7" t="s">
        <v>170</v>
      </c>
      <c r="C48" s="6">
        <v>29</v>
      </c>
      <c r="D48" s="7" t="s">
        <v>30</v>
      </c>
      <c r="E48" s="6">
        <v>4</v>
      </c>
      <c r="F48" s="7" t="s">
        <v>171</v>
      </c>
      <c r="G48" s="7" t="s">
        <v>172</v>
      </c>
      <c r="H48" s="6">
        <v>2</v>
      </c>
      <c r="I48" s="8">
        <f>VLOOKUP(E48,diagnosis!$A$1:$B$11,2,FALSE)</f>
      </c>
      <c r="J48" s="8">
        <f>VLOOKUP(H48,outcomes!$A$1:$B$4,2,FALSE)</f>
      </c>
      <c r="K48" s="6">
        <f>G48-F48</f>
      </c>
      <c r="L48" s="7" t="s">
        <v>33</v>
      </c>
      <c r="M48" s="6">
        <v>17856</v>
      </c>
      <c r="N48" s="7" t="s">
        <v>39</v>
      </c>
    </row>
    <row x14ac:dyDescent="0.25" r="49" customHeight="1" ht="18.75">
      <c r="A49" s="6">
        <v>48</v>
      </c>
      <c r="B49" s="7" t="s">
        <v>173</v>
      </c>
      <c r="C49" s="6">
        <v>83</v>
      </c>
      <c r="D49" s="7" t="s">
        <v>47</v>
      </c>
      <c r="E49" s="6">
        <v>9</v>
      </c>
      <c r="F49" s="7" t="s">
        <v>32</v>
      </c>
      <c r="G49" s="7" t="s">
        <v>142</v>
      </c>
      <c r="H49" s="6">
        <v>2</v>
      </c>
      <c r="I49" s="8">
        <f>VLOOKUP(E49,diagnosis!$A$1:$B$11,2,FALSE)</f>
      </c>
      <c r="J49" s="8">
        <f>VLOOKUP(H49,outcomes!$A$1:$B$4,2,FALSE)</f>
      </c>
      <c r="K49" s="6">
        <f>G49-F49</f>
      </c>
      <c r="L49" s="7" t="s">
        <v>33</v>
      </c>
      <c r="M49" s="6">
        <v>55596</v>
      </c>
      <c r="N49" s="7" t="s">
        <v>34</v>
      </c>
    </row>
    <row x14ac:dyDescent="0.25" r="50" customHeight="1" ht="18.75">
      <c r="A50" s="6">
        <v>49</v>
      </c>
      <c r="B50" s="7" t="s">
        <v>174</v>
      </c>
      <c r="C50" s="6">
        <v>34</v>
      </c>
      <c r="D50" s="7" t="s">
        <v>30</v>
      </c>
      <c r="E50" s="6">
        <v>2</v>
      </c>
      <c r="F50" s="7" t="s">
        <v>175</v>
      </c>
      <c r="G50" s="7" t="s">
        <v>176</v>
      </c>
      <c r="H50" s="6">
        <v>3</v>
      </c>
      <c r="I50" s="8">
        <f>VLOOKUP(E50,diagnosis!$A$1:$B$11,2,FALSE)</f>
      </c>
      <c r="J50" s="8">
        <f>VLOOKUP(H50,outcomes!$A$1:$B$4,2,FALSE)</f>
      </c>
      <c r="K50" s="6">
        <f>G50-F50</f>
      </c>
      <c r="L50" s="7" t="s">
        <v>33</v>
      </c>
      <c r="M50" s="6">
        <v>88350</v>
      </c>
      <c r="N50" s="7" t="s">
        <v>34</v>
      </c>
    </row>
    <row x14ac:dyDescent="0.25" r="51" customHeight="1" ht="18.75">
      <c r="A51" s="6">
        <v>50</v>
      </c>
      <c r="B51" s="7" t="s">
        <v>177</v>
      </c>
      <c r="C51" s="6">
        <v>66</v>
      </c>
      <c r="D51" s="7" t="s">
        <v>30</v>
      </c>
      <c r="E51" s="6">
        <v>7</v>
      </c>
      <c r="F51" s="7" t="s">
        <v>178</v>
      </c>
      <c r="G51" s="7" t="s">
        <v>179</v>
      </c>
      <c r="H51" s="6">
        <v>3</v>
      </c>
      <c r="I51" s="8">
        <f>VLOOKUP(E51,diagnosis!$A$1:$B$11,2,FALSE)</f>
      </c>
      <c r="J51" s="8">
        <f>VLOOKUP(H51,outcomes!$A$1:$B$4,2,FALSE)</f>
      </c>
      <c r="K51" s="6">
        <f>G51-F51</f>
      </c>
      <c r="L51" s="7" t="s">
        <v>33</v>
      </c>
      <c r="M51" s="6">
        <v>80800</v>
      </c>
      <c r="N51" s="7" t="s">
        <v>34</v>
      </c>
    </row>
    <row x14ac:dyDescent="0.25" r="52" customHeight="1" ht="18.75">
      <c r="A52" s="6">
        <v>51</v>
      </c>
      <c r="B52" s="7" t="s">
        <v>180</v>
      </c>
      <c r="C52" s="6">
        <v>67</v>
      </c>
      <c r="D52" s="7" t="s">
        <v>30</v>
      </c>
      <c r="E52" s="6">
        <v>6</v>
      </c>
      <c r="F52" s="7" t="s">
        <v>178</v>
      </c>
      <c r="G52" s="7" t="s">
        <v>181</v>
      </c>
      <c r="H52" s="6">
        <v>2</v>
      </c>
      <c r="I52" s="8">
        <f>VLOOKUP(E52,diagnosis!$A$1:$B$11,2,FALSE)</f>
      </c>
      <c r="J52" s="8">
        <f>VLOOKUP(H52,outcomes!$A$1:$B$4,2,FALSE)</f>
      </c>
      <c r="K52" s="6">
        <f>G52-F52</f>
      </c>
      <c r="L52" s="7" t="s">
        <v>33</v>
      </c>
      <c r="M52" s="6">
        <v>4115</v>
      </c>
      <c r="N52" s="7" t="s">
        <v>34</v>
      </c>
    </row>
    <row x14ac:dyDescent="0.25" r="53" customHeight="1" ht="18.75">
      <c r="A53" s="6">
        <v>52</v>
      </c>
      <c r="B53" s="7" t="s">
        <v>182</v>
      </c>
      <c r="C53" s="6">
        <v>39</v>
      </c>
      <c r="D53" s="7" t="s">
        <v>47</v>
      </c>
      <c r="E53" s="6">
        <v>7</v>
      </c>
      <c r="F53" s="7" t="s">
        <v>183</v>
      </c>
      <c r="G53" s="7" t="s">
        <v>184</v>
      </c>
      <c r="H53" s="6">
        <v>2</v>
      </c>
      <c r="I53" s="8">
        <f>VLOOKUP(E53,diagnosis!$A$1:$B$11,2,FALSE)</f>
      </c>
      <c r="J53" s="8">
        <f>VLOOKUP(H53,outcomes!$A$1:$B$4,2,FALSE)</f>
      </c>
      <c r="K53" s="6">
        <f>G53-F53</f>
      </c>
      <c r="L53" s="7" t="s">
        <v>60</v>
      </c>
      <c r="M53" s="6">
        <v>18688</v>
      </c>
      <c r="N53" s="7" t="s">
        <v>34</v>
      </c>
    </row>
    <row x14ac:dyDescent="0.25" r="54" customHeight="1" ht="18.75">
      <c r="A54" s="6">
        <v>53</v>
      </c>
      <c r="B54" s="7" t="s">
        <v>185</v>
      </c>
      <c r="C54" s="6">
        <v>54</v>
      </c>
      <c r="D54" s="7" t="s">
        <v>47</v>
      </c>
      <c r="E54" s="6">
        <v>3</v>
      </c>
      <c r="F54" s="7" t="s">
        <v>186</v>
      </c>
      <c r="G54" s="7" t="s">
        <v>153</v>
      </c>
      <c r="H54" s="6">
        <v>3</v>
      </c>
      <c r="I54" s="8">
        <f>VLOOKUP(E54,diagnosis!$A$1:$B$11,2,FALSE)</f>
      </c>
      <c r="J54" s="8">
        <f>VLOOKUP(H54,outcomes!$A$1:$B$4,2,FALSE)</f>
      </c>
      <c r="K54" s="6">
        <f>G54-F54</f>
      </c>
      <c r="L54" s="7" t="s">
        <v>60</v>
      </c>
      <c r="M54" s="6">
        <v>25438</v>
      </c>
      <c r="N54" s="7" t="s">
        <v>34</v>
      </c>
    </row>
    <row x14ac:dyDescent="0.25" r="55" customHeight="1" ht="18.75">
      <c r="A55" s="6">
        <v>54</v>
      </c>
      <c r="B55" s="7" t="s">
        <v>187</v>
      </c>
      <c r="C55" s="6">
        <v>37</v>
      </c>
      <c r="D55" s="7" t="s">
        <v>30</v>
      </c>
      <c r="E55" s="6">
        <v>7</v>
      </c>
      <c r="F55" s="7" t="s">
        <v>188</v>
      </c>
      <c r="G55" s="7" t="s">
        <v>189</v>
      </c>
      <c r="H55" s="6">
        <v>3</v>
      </c>
      <c r="I55" s="8">
        <f>VLOOKUP(E55,diagnosis!$A$1:$B$11,2,FALSE)</f>
      </c>
      <c r="J55" s="8">
        <f>VLOOKUP(H55,outcomes!$A$1:$B$4,2,FALSE)</f>
      </c>
      <c r="K55" s="6">
        <f>G55-F55</f>
      </c>
      <c r="L55" s="7" t="s">
        <v>33</v>
      </c>
      <c r="M55" s="6">
        <v>44420</v>
      </c>
      <c r="N55" s="7" t="s">
        <v>34</v>
      </c>
    </row>
    <row x14ac:dyDescent="0.25" r="56" customHeight="1" ht="18.75">
      <c r="A56" s="6">
        <v>55</v>
      </c>
      <c r="B56" s="7" t="s">
        <v>190</v>
      </c>
      <c r="C56" s="6">
        <v>87</v>
      </c>
      <c r="D56" s="7" t="s">
        <v>30</v>
      </c>
      <c r="E56" s="6">
        <v>9</v>
      </c>
      <c r="F56" s="7" t="s">
        <v>191</v>
      </c>
      <c r="G56" s="7" t="s">
        <v>192</v>
      </c>
      <c r="H56" s="6">
        <v>2</v>
      </c>
      <c r="I56" s="8">
        <f>VLOOKUP(E56,diagnosis!$A$1:$B$11,2,FALSE)</f>
      </c>
      <c r="J56" s="8">
        <f>VLOOKUP(H56,outcomes!$A$1:$B$4,2,FALSE)</f>
      </c>
      <c r="K56" s="6">
        <f>G56-F56</f>
      </c>
      <c r="L56" s="7" t="s">
        <v>33</v>
      </c>
      <c r="M56" s="6">
        <v>67860</v>
      </c>
      <c r="N56" s="7" t="s">
        <v>39</v>
      </c>
    </row>
    <row x14ac:dyDescent="0.25" r="57" customHeight="1" ht="18.75">
      <c r="A57" s="6">
        <v>56</v>
      </c>
      <c r="B57" s="7" t="s">
        <v>193</v>
      </c>
      <c r="C57" s="6">
        <v>85</v>
      </c>
      <c r="D57" s="7" t="s">
        <v>47</v>
      </c>
      <c r="E57" s="6">
        <v>2</v>
      </c>
      <c r="F57" s="7" t="s">
        <v>194</v>
      </c>
      <c r="G57" s="7" t="s">
        <v>195</v>
      </c>
      <c r="H57" s="6">
        <v>1</v>
      </c>
      <c r="I57" s="8">
        <f>VLOOKUP(E57,diagnosis!$A$1:$B$11,2,FALSE)</f>
      </c>
      <c r="J57" s="8">
        <f>VLOOKUP(H57,outcomes!$A$1:$B$4,2,FALSE)</f>
      </c>
      <c r="K57" s="6">
        <f>G57-F57</f>
      </c>
      <c r="L57" s="7" t="s">
        <v>33</v>
      </c>
      <c r="M57" s="6">
        <v>55590</v>
      </c>
      <c r="N57" s="7" t="s">
        <v>50</v>
      </c>
    </row>
    <row x14ac:dyDescent="0.25" r="58" customHeight="1" ht="18.75">
      <c r="A58" s="6">
        <v>57</v>
      </c>
      <c r="B58" s="7" t="s">
        <v>196</v>
      </c>
      <c r="C58" s="6">
        <v>4</v>
      </c>
      <c r="D58" s="7" t="s">
        <v>30</v>
      </c>
      <c r="E58" s="6">
        <v>4</v>
      </c>
      <c r="F58" s="7" t="s">
        <v>41</v>
      </c>
      <c r="G58" s="7" t="s">
        <v>85</v>
      </c>
      <c r="H58" s="6">
        <v>2</v>
      </c>
      <c r="I58" s="8">
        <f>VLOOKUP(E58,diagnosis!$A$1:$B$11,2,FALSE)</f>
      </c>
      <c r="J58" s="8">
        <f>VLOOKUP(H58,outcomes!$A$1:$B$4,2,FALSE)</f>
      </c>
      <c r="K58" s="6">
        <f>G58-F58</f>
      </c>
      <c r="L58" s="7" t="s">
        <v>60</v>
      </c>
      <c r="M58" s="6">
        <v>20080</v>
      </c>
      <c r="N58" s="7" t="s">
        <v>50</v>
      </c>
    </row>
    <row x14ac:dyDescent="0.25" r="59" customHeight="1" ht="18.75">
      <c r="A59" s="6">
        <v>58</v>
      </c>
      <c r="B59" s="7" t="s">
        <v>197</v>
      </c>
      <c r="C59" s="6">
        <v>25</v>
      </c>
      <c r="D59" s="7" t="s">
        <v>47</v>
      </c>
      <c r="E59" s="6">
        <v>8</v>
      </c>
      <c r="F59" s="7" t="s">
        <v>198</v>
      </c>
      <c r="G59" s="7" t="s">
        <v>199</v>
      </c>
      <c r="H59" s="6">
        <v>2</v>
      </c>
      <c r="I59" s="8">
        <f>VLOOKUP(E59,diagnosis!$A$1:$B$11,2,FALSE)</f>
      </c>
      <c r="J59" s="8">
        <f>VLOOKUP(H59,outcomes!$A$1:$B$4,2,FALSE)</f>
      </c>
      <c r="K59" s="6">
        <f>G59-F59</f>
      </c>
      <c r="L59" s="7" t="s">
        <v>33</v>
      </c>
      <c r="M59" s="6">
        <v>42579</v>
      </c>
      <c r="N59" s="7" t="s">
        <v>34</v>
      </c>
    </row>
    <row x14ac:dyDescent="0.25" r="60" customHeight="1" ht="18.75">
      <c r="A60" s="6">
        <v>59</v>
      </c>
      <c r="B60" s="7" t="s">
        <v>200</v>
      </c>
      <c r="C60" s="6">
        <v>29</v>
      </c>
      <c r="D60" s="7" t="s">
        <v>30</v>
      </c>
      <c r="E60" s="6">
        <v>9</v>
      </c>
      <c r="F60" s="7" t="s">
        <v>201</v>
      </c>
      <c r="G60" s="7" t="s">
        <v>157</v>
      </c>
      <c r="H60" s="6">
        <v>2</v>
      </c>
      <c r="I60" s="8">
        <f>VLOOKUP(E60,diagnosis!$A$1:$B$11,2,FALSE)</f>
      </c>
      <c r="J60" s="8">
        <f>VLOOKUP(H60,outcomes!$A$1:$B$4,2,FALSE)</f>
      </c>
      <c r="K60" s="6">
        <f>G60-F60</f>
      </c>
      <c r="L60" s="7" t="s">
        <v>33</v>
      </c>
      <c r="M60" s="6">
        <v>58282</v>
      </c>
      <c r="N60" s="7" t="s">
        <v>39</v>
      </c>
    </row>
    <row x14ac:dyDescent="0.25" r="61" customHeight="1" ht="18.75">
      <c r="A61" s="6">
        <v>60</v>
      </c>
      <c r="B61" s="7" t="s">
        <v>64</v>
      </c>
      <c r="C61" s="6">
        <v>18</v>
      </c>
      <c r="D61" s="7" t="s">
        <v>47</v>
      </c>
      <c r="E61" s="6">
        <v>9</v>
      </c>
      <c r="F61" s="7" t="s">
        <v>202</v>
      </c>
      <c r="G61" s="7" t="s">
        <v>203</v>
      </c>
      <c r="H61" s="6">
        <v>3</v>
      </c>
      <c r="I61" s="8">
        <f>VLOOKUP(E61,diagnosis!$A$1:$B$11,2,FALSE)</f>
      </c>
      <c r="J61" s="8">
        <f>VLOOKUP(H61,outcomes!$A$1:$B$4,2,FALSE)</f>
      </c>
      <c r="K61" s="6">
        <f>G61-F61</f>
      </c>
      <c r="L61" s="7" t="s">
        <v>33</v>
      </c>
      <c r="M61" s="6">
        <v>67800</v>
      </c>
      <c r="N61" s="7" t="s">
        <v>50</v>
      </c>
    </row>
    <row x14ac:dyDescent="0.25" r="62" customHeight="1" ht="18.75">
      <c r="A62" s="6">
        <v>61</v>
      </c>
      <c r="B62" s="7" t="s">
        <v>190</v>
      </c>
      <c r="C62" s="6">
        <v>71</v>
      </c>
      <c r="D62" s="7" t="s">
        <v>47</v>
      </c>
      <c r="E62" s="6">
        <v>3</v>
      </c>
      <c r="F62" s="7" t="s">
        <v>204</v>
      </c>
      <c r="G62" s="7" t="s">
        <v>205</v>
      </c>
      <c r="H62" s="6">
        <v>3</v>
      </c>
      <c r="I62" s="8">
        <f>VLOOKUP(E62,diagnosis!$A$1:$B$11,2,FALSE)</f>
      </c>
      <c r="J62" s="8">
        <f>VLOOKUP(H62,outcomes!$A$1:$B$4,2,FALSE)</f>
      </c>
      <c r="K62" s="6">
        <f>G62-F62</f>
      </c>
      <c r="L62" s="7" t="s">
        <v>33</v>
      </c>
      <c r="M62" s="6">
        <v>29512</v>
      </c>
      <c r="N62" s="7" t="s">
        <v>39</v>
      </c>
    </row>
    <row x14ac:dyDescent="0.25" r="63" customHeight="1" ht="18.75">
      <c r="A63" s="6">
        <v>62</v>
      </c>
      <c r="B63" s="7" t="s">
        <v>206</v>
      </c>
      <c r="C63" s="6">
        <v>67</v>
      </c>
      <c r="D63" s="7" t="s">
        <v>47</v>
      </c>
      <c r="E63" s="6">
        <v>4</v>
      </c>
      <c r="F63" s="7" t="s">
        <v>207</v>
      </c>
      <c r="G63" s="7" t="s">
        <v>163</v>
      </c>
      <c r="H63" s="6">
        <v>2</v>
      </c>
      <c r="I63" s="8">
        <f>VLOOKUP(E63,diagnosis!$A$1:$B$11,2,FALSE)</f>
      </c>
      <c r="J63" s="8">
        <f>VLOOKUP(H63,outcomes!$A$1:$B$4,2,FALSE)</f>
      </c>
      <c r="K63" s="6">
        <f>G63-F63</f>
      </c>
      <c r="L63" s="7" t="s">
        <v>33</v>
      </c>
      <c r="M63" s="6">
        <v>43146</v>
      </c>
      <c r="N63" s="7" t="s">
        <v>34</v>
      </c>
    </row>
    <row x14ac:dyDescent="0.25" r="64" customHeight="1" ht="18.75">
      <c r="A64" s="6">
        <v>63</v>
      </c>
      <c r="B64" s="7" t="s">
        <v>208</v>
      </c>
      <c r="C64" s="6">
        <v>43</v>
      </c>
      <c r="D64" s="7" t="s">
        <v>47</v>
      </c>
      <c r="E64" s="6">
        <v>9</v>
      </c>
      <c r="F64" s="7" t="s">
        <v>209</v>
      </c>
      <c r="G64" s="7" t="s">
        <v>210</v>
      </c>
      <c r="H64" s="6">
        <v>1</v>
      </c>
      <c r="I64" s="8">
        <f>VLOOKUP(E64,diagnosis!$A$1:$B$11,2,FALSE)</f>
      </c>
      <c r="J64" s="8">
        <f>VLOOKUP(H64,outcomes!$A$1:$B$4,2,FALSE)</f>
      </c>
      <c r="K64" s="6">
        <f>G64-F64</f>
      </c>
      <c r="L64" s="7" t="s">
        <v>33</v>
      </c>
      <c r="M64" s="6">
        <v>20250</v>
      </c>
      <c r="N64" s="7" t="s">
        <v>39</v>
      </c>
    </row>
    <row x14ac:dyDescent="0.25" r="65" customHeight="1" ht="18.75">
      <c r="A65" s="6">
        <v>64</v>
      </c>
      <c r="B65" s="7" t="s">
        <v>211</v>
      </c>
      <c r="C65" s="6">
        <v>28</v>
      </c>
      <c r="D65" s="7" t="s">
        <v>30</v>
      </c>
      <c r="E65" s="6">
        <v>7</v>
      </c>
      <c r="F65" s="7" t="s">
        <v>212</v>
      </c>
      <c r="G65" s="7" t="s">
        <v>213</v>
      </c>
      <c r="H65" s="6">
        <v>2</v>
      </c>
      <c r="I65" s="8">
        <f>VLOOKUP(E65,diagnosis!$A$1:$B$11,2,FALSE)</f>
      </c>
      <c r="J65" s="8">
        <f>VLOOKUP(H65,outcomes!$A$1:$B$4,2,FALSE)</f>
      </c>
      <c r="K65" s="6">
        <f>G65-F65</f>
      </c>
      <c r="L65" s="7" t="s">
        <v>60</v>
      </c>
      <c r="M65" s="6">
        <v>22445</v>
      </c>
      <c r="N65" s="7" t="s">
        <v>39</v>
      </c>
    </row>
    <row x14ac:dyDescent="0.25" r="66" customHeight="1" ht="18.75">
      <c r="A66" s="6">
        <v>65</v>
      </c>
      <c r="B66" s="7" t="s">
        <v>112</v>
      </c>
      <c r="C66" s="6">
        <v>27</v>
      </c>
      <c r="D66" s="7" t="s">
        <v>47</v>
      </c>
      <c r="E66" s="6">
        <v>7</v>
      </c>
      <c r="F66" s="7" t="s">
        <v>214</v>
      </c>
      <c r="G66" s="7" t="s">
        <v>215</v>
      </c>
      <c r="H66" s="6">
        <v>3</v>
      </c>
      <c r="I66" s="8">
        <f>VLOOKUP(E66,diagnosis!$A$1:$B$11,2,FALSE)</f>
      </c>
      <c r="J66" s="8">
        <f>VLOOKUP(H66,outcomes!$A$1:$B$4,2,FALSE)</f>
      </c>
      <c r="K66" s="6">
        <f>G66-F66</f>
      </c>
      <c r="L66" s="7" t="s">
        <v>38</v>
      </c>
      <c r="M66" s="6">
        <v>6886</v>
      </c>
      <c r="N66" s="7" t="s">
        <v>50</v>
      </c>
    </row>
    <row x14ac:dyDescent="0.25" r="67" customHeight="1" ht="18.75">
      <c r="A67" s="6">
        <v>66</v>
      </c>
      <c r="B67" s="7" t="s">
        <v>216</v>
      </c>
      <c r="C67" s="6">
        <v>1</v>
      </c>
      <c r="D67" s="7" t="s">
        <v>47</v>
      </c>
      <c r="E67" s="6">
        <v>5</v>
      </c>
      <c r="F67" s="7" t="s">
        <v>217</v>
      </c>
      <c r="G67" s="7" t="s">
        <v>218</v>
      </c>
      <c r="H67" s="6">
        <v>2</v>
      </c>
      <c r="I67" s="8">
        <f>VLOOKUP(E67,diagnosis!$A$1:$B$11,2,FALSE)</f>
      </c>
      <c r="J67" s="8">
        <f>VLOOKUP(H67,outcomes!$A$1:$B$4,2,FALSE)</f>
      </c>
      <c r="K67" s="6">
        <f>G67-F67</f>
      </c>
      <c r="L67" s="7" t="s">
        <v>33</v>
      </c>
      <c r="M67" s="6">
        <v>63840</v>
      </c>
      <c r="N67" s="7" t="s">
        <v>34</v>
      </c>
    </row>
    <row x14ac:dyDescent="0.25" r="68" customHeight="1" ht="18.75">
      <c r="A68" s="6">
        <v>67</v>
      </c>
      <c r="B68" s="7" t="s">
        <v>219</v>
      </c>
      <c r="C68" s="6">
        <v>29</v>
      </c>
      <c r="D68" s="7" t="s">
        <v>47</v>
      </c>
      <c r="E68" s="6">
        <v>7</v>
      </c>
      <c r="F68" s="7" t="s">
        <v>220</v>
      </c>
      <c r="G68" s="7" t="s">
        <v>221</v>
      </c>
      <c r="H68" s="6">
        <v>2</v>
      </c>
      <c r="I68" s="8">
        <f>VLOOKUP(E68,diagnosis!$A$1:$B$11,2,FALSE)</f>
      </c>
      <c r="J68" s="8">
        <f>VLOOKUP(H68,outcomes!$A$1:$B$4,2,FALSE)</f>
      </c>
      <c r="K68" s="6">
        <f>G68-F68</f>
      </c>
      <c r="L68" s="7" t="s">
        <v>33</v>
      </c>
      <c r="M68" s="6">
        <v>36320</v>
      </c>
      <c r="N68" s="7" t="s">
        <v>39</v>
      </c>
    </row>
    <row x14ac:dyDescent="0.25" r="69" customHeight="1" ht="18.75">
      <c r="A69" s="6">
        <v>68</v>
      </c>
      <c r="B69" s="7" t="s">
        <v>222</v>
      </c>
      <c r="C69" s="6">
        <v>60</v>
      </c>
      <c r="D69" s="7" t="s">
        <v>30</v>
      </c>
      <c r="E69" s="6">
        <v>10</v>
      </c>
      <c r="F69" s="7" t="s">
        <v>223</v>
      </c>
      <c r="G69" s="7" t="s">
        <v>224</v>
      </c>
      <c r="H69" s="6">
        <v>3</v>
      </c>
      <c r="I69" s="8">
        <f>VLOOKUP(E69,diagnosis!$A$1:$B$11,2,FALSE)</f>
      </c>
      <c r="J69" s="8">
        <f>VLOOKUP(H69,outcomes!$A$1:$B$4,2,FALSE)</f>
      </c>
      <c r="K69" s="6">
        <f>G69-F69</f>
      </c>
      <c r="L69" s="7" t="s">
        <v>33</v>
      </c>
      <c r="M69" s="6">
        <v>13860</v>
      </c>
      <c r="N69" s="7" t="s">
        <v>39</v>
      </c>
    </row>
    <row x14ac:dyDescent="0.25" r="70" customHeight="1" ht="18.75">
      <c r="A70" s="6">
        <v>69</v>
      </c>
      <c r="B70" s="7" t="s">
        <v>225</v>
      </c>
      <c r="C70" s="6">
        <v>83</v>
      </c>
      <c r="D70" s="7" t="s">
        <v>47</v>
      </c>
      <c r="E70" s="6">
        <v>3</v>
      </c>
      <c r="F70" s="7" t="s">
        <v>226</v>
      </c>
      <c r="G70" s="7" t="s">
        <v>227</v>
      </c>
      <c r="H70" s="6">
        <v>2</v>
      </c>
      <c r="I70" s="8">
        <f>VLOOKUP(E70,diagnosis!$A$1:$B$11,2,FALSE)</f>
      </c>
      <c r="J70" s="8">
        <f>VLOOKUP(H70,outcomes!$A$1:$B$4,2,FALSE)</f>
      </c>
      <c r="K70" s="6">
        <f>G70-F70</f>
      </c>
      <c r="L70" s="7" t="s">
        <v>33</v>
      </c>
      <c r="M70" s="6">
        <v>12285</v>
      </c>
      <c r="N70" s="7" t="s">
        <v>34</v>
      </c>
    </row>
    <row x14ac:dyDescent="0.25" r="71" customHeight="1" ht="18.75">
      <c r="A71" s="6">
        <v>70</v>
      </c>
      <c r="B71" s="7" t="s">
        <v>228</v>
      </c>
      <c r="C71" s="6">
        <v>28</v>
      </c>
      <c r="D71" s="7" t="s">
        <v>47</v>
      </c>
      <c r="E71" s="6">
        <v>6</v>
      </c>
      <c r="F71" s="7" t="s">
        <v>229</v>
      </c>
      <c r="G71" s="7" t="s">
        <v>230</v>
      </c>
      <c r="H71" s="6">
        <v>2</v>
      </c>
      <c r="I71" s="8">
        <f>VLOOKUP(E71,diagnosis!$A$1:$B$11,2,FALSE)</f>
      </c>
      <c r="J71" s="8">
        <f>VLOOKUP(H71,outcomes!$A$1:$B$4,2,FALSE)</f>
      </c>
      <c r="K71" s="6">
        <f>G71-F71</f>
      </c>
      <c r="L71" s="7" t="s">
        <v>33</v>
      </c>
      <c r="M71" s="6">
        <v>32219</v>
      </c>
      <c r="N71" s="7" t="s">
        <v>34</v>
      </c>
    </row>
    <row x14ac:dyDescent="0.25" r="72" customHeight="1" ht="18.75">
      <c r="A72" s="6">
        <v>71</v>
      </c>
      <c r="B72" s="7" t="s">
        <v>231</v>
      </c>
      <c r="C72" s="6">
        <v>61</v>
      </c>
      <c r="D72" s="7" t="s">
        <v>30</v>
      </c>
      <c r="E72" s="6">
        <v>9</v>
      </c>
      <c r="F72" s="7" t="s">
        <v>232</v>
      </c>
      <c r="G72" s="7" t="s">
        <v>233</v>
      </c>
      <c r="H72" s="6">
        <v>1</v>
      </c>
      <c r="I72" s="8">
        <f>VLOOKUP(E72,diagnosis!$A$1:$B$11,2,FALSE)</f>
      </c>
      <c r="J72" s="8">
        <f>VLOOKUP(H72,outcomes!$A$1:$B$4,2,FALSE)</f>
      </c>
      <c r="K72" s="6">
        <f>G72-F72</f>
      </c>
      <c r="L72" s="7" t="s">
        <v>33</v>
      </c>
      <c r="M72" s="6">
        <v>14088</v>
      </c>
      <c r="N72" s="7" t="s">
        <v>39</v>
      </c>
    </row>
    <row x14ac:dyDescent="0.25" r="73" customHeight="1" ht="18.75">
      <c r="A73" s="6">
        <v>72</v>
      </c>
      <c r="B73" s="7" t="s">
        <v>234</v>
      </c>
      <c r="C73" s="6">
        <v>32</v>
      </c>
      <c r="D73" s="7" t="s">
        <v>30</v>
      </c>
      <c r="E73" s="6">
        <v>1</v>
      </c>
      <c r="F73" s="7" t="s">
        <v>235</v>
      </c>
      <c r="G73" s="7" t="s">
        <v>236</v>
      </c>
      <c r="H73" s="6">
        <v>3</v>
      </c>
      <c r="I73" s="8">
        <f>VLOOKUP(E73,diagnosis!$A$1:$B$11,2,FALSE)</f>
      </c>
      <c r="J73" s="8">
        <f>VLOOKUP(H73,outcomes!$A$1:$B$4,2,FALSE)</f>
      </c>
      <c r="K73" s="6">
        <f>G73-F73</f>
      </c>
      <c r="L73" s="7" t="s">
        <v>60</v>
      </c>
      <c r="M73" s="6">
        <v>4985</v>
      </c>
      <c r="N73" s="7" t="s">
        <v>39</v>
      </c>
    </row>
    <row x14ac:dyDescent="0.25" r="74" customHeight="1" ht="18.75">
      <c r="A74" s="6">
        <v>73</v>
      </c>
      <c r="B74" s="7" t="s">
        <v>237</v>
      </c>
      <c r="C74" s="6">
        <v>73</v>
      </c>
      <c r="D74" s="7" t="s">
        <v>30</v>
      </c>
      <c r="E74" s="6">
        <v>8</v>
      </c>
      <c r="F74" s="7" t="s">
        <v>238</v>
      </c>
      <c r="G74" s="7" t="s">
        <v>239</v>
      </c>
      <c r="H74" s="6">
        <v>3</v>
      </c>
      <c r="I74" s="8">
        <f>VLOOKUP(E74,diagnosis!$A$1:$B$11,2,FALSE)</f>
      </c>
      <c r="J74" s="8">
        <f>VLOOKUP(H74,outcomes!$A$1:$B$4,2,FALSE)</f>
      </c>
      <c r="K74" s="6">
        <f>G74-F74</f>
      </c>
      <c r="L74" s="7" t="s">
        <v>33</v>
      </c>
      <c r="M74" s="6">
        <v>11584</v>
      </c>
      <c r="N74" s="7" t="s">
        <v>39</v>
      </c>
    </row>
    <row x14ac:dyDescent="0.25" r="75" customHeight="1" ht="18.75">
      <c r="A75" s="6">
        <v>74</v>
      </c>
      <c r="B75" s="7" t="s">
        <v>240</v>
      </c>
      <c r="C75" s="6">
        <v>40</v>
      </c>
      <c r="D75" s="7" t="s">
        <v>30</v>
      </c>
      <c r="E75" s="6">
        <v>10</v>
      </c>
      <c r="F75" s="7" t="s">
        <v>241</v>
      </c>
      <c r="G75" s="7" t="s">
        <v>242</v>
      </c>
      <c r="H75" s="6">
        <v>1</v>
      </c>
      <c r="I75" s="8">
        <f>VLOOKUP(E75,diagnosis!$A$1:$B$11,2,FALSE)</f>
      </c>
      <c r="J75" s="8">
        <f>VLOOKUP(H75,outcomes!$A$1:$B$4,2,FALSE)</f>
      </c>
      <c r="K75" s="6">
        <f>G75-F75</f>
      </c>
      <c r="L75" s="7" t="s">
        <v>60</v>
      </c>
      <c r="M75" s="6">
        <v>18864</v>
      </c>
      <c r="N75" s="7" t="s">
        <v>39</v>
      </c>
    </row>
    <row x14ac:dyDescent="0.25" r="76" customHeight="1" ht="18.75">
      <c r="A76" s="6">
        <v>75</v>
      </c>
      <c r="B76" s="7" t="s">
        <v>243</v>
      </c>
      <c r="C76" s="6">
        <v>10</v>
      </c>
      <c r="D76" s="7" t="s">
        <v>30</v>
      </c>
      <c r="E76" s="6">
        <v>2</v>
      </c>
      <c r="F76" s="7" t="s">
        <v>244</v>
      </c>
      <c r="G76" s="7" t="s">
        <v>245</v>
      </c>
      <c r="H76" s="6">
        <v>3</v>
      </c>
      <c r="I76" s="8">
        <f>VLOOKUP(E76,diagnosis!$A$1:$B$11,2,FALSE)</f>
      </c>
      <c r="J76" s="8">
        <f>VLOOKUP(H76,outcomes!$A$1:$B$4,2,FALSE)</f>
      </c>
      <c r="K76" s="6">
        <f>G76-F76</f>
      </c>
      <c r="L76" s="7" t="s">
        <v>60</v>
      </c>
      <c r="M76" s="6">
        <v>17906</v>
      </c>
      <c r="N76" s="7" t="s">
        <v>39</v>
      </c>
    </row>
    <row x14ac:dyDescent="0.25" r="77" customHeight="1" ht="18.75">
      <c r="A77" s="6">
        <v>76</v>
      </c>
      <c r="B77" s="7" t="s">
        <v>246</v>
      </c>
      <c r="C77" s="6">
        <v>69</v>
      </c>
      <c r="D77" s="7" t="s">
        <v>47</v>
      </c>
      <c r="E77" s="6">
        <v>6</v>
      </c>
      <c r="F77" s="7" t="s">
        <v>247</v>
      </c>
      <c r="G77" s="7" t="s">
        <v>248</v>
      </c>
      <c r="H77" s="6">
        <v>1</v>
      </c>
      <c r="I77" s="8">
        <f>VLOOKUP(E77,diagnosis!$A$1:$B$11,2,FALSE)</f>
      </c>
      <c r="J77" s="8">
        <f>VLOOKUP(H77,outcomes!$A$1:$B$4,2,FALSE)</f>
      </c>
      <c r="K77" s="6">
        <f>G77-F77</f>
      </c>
      <c r="L77" s="7" t="s">
        <v>33</v>
      </c>
      <c r="M77" s="6">
        <v>31092</v>
      </c>
      <c r="N77" s="7" t="s">
        <v>39</v>
      </c>
    </row>
    <row x14ac:dyDescent="0.25" r="78" customHeight="1" ht="18.75">
      <c r="A78" s="6">
        <v>77</v>
      </c>
      <c r="B78" s="7" t="s">
        <v>249</v>
      </c>
      <c r="C78" s="6">
        <v>14</v>
      </c>
      <c r="D78" s="7" t="s">
        <v>47</v>
      </c>
      <c r="E78" s="6">
        <v>6</v>
      </c>
      <c r="F78" s="7" t="s">
        <v>250</v>
      </c>
      <c r="G78" s="7" t="s">
        <v>45</v>
      </c>
      <c r="H78" s="6">
        <v>3</v>
      </c>
      <c r="I78" s="8">
        <f>VLOOKUP(E78,diagnosis!$A$1:$B$11,2,FALSE)</f>
      </c>
      <c r="J78" s="8">
        <f>VLOOKUP(H78,outcomes!$A$1:$B$4,2,FALSE)</f>
      </c>
      <c r="K78" s="6">
        <f>G78-F78</f>
      </c>
      <c r="L78" s="7" t="s">
        <v>33</v>
      </c>
      <c r="M78" s="6">
        <v>78928</v>
      </c>
      <c r="N78" s="7" t="s">
        <v>34</v>
      </c>
    </row>
    <row x14ac:dyDescent="0.25" r="79" customHeight="1" ht="18.75">
      <c r="A79" s="6">
        <v>78</v>
      </c>
      <c r="B79" s="7" t="s">
        <v>251</v>
      </c>
      <c r="C79" s="6">
        <v>84</v>
      </c>
      <c r="D79" s="7" t="s">
        <v>47</v>
      </c>
      <c r="E79" s="6">
        <v>10</v>
      </c>
      <c r="F79" s="7" t="s">
        <v>252</v>
      </c>
      <c r="G79" s="7" t="s">
        <v>253</v>
      </c>
      <c r="H79" s="6">
        <v>3</v>
      </c>
      <c r="I79" s="8">
        <f>VLOOKUP(E79,diagnosis!$A$1:$B$11,2,FALSE)</f>
      </c>
      <c r="J79" s="8">
        <f>VLOOKUP(H79,outcomes!$A$1:$B$4,2,FALSE)</f>
      </c>
      <c r="K79" s="6">
        <f>G79-F79</f>
      </c>
      <c r="L79" s="7" t="s">
        <v>33</v>
      </c>
      <c r="M79" s="6">
        <v>74358</v>
      </c>
      <c r="N79" s="7" t="s">
        <v>50</v>
      </c>
    </row>
    <row x14ac:dyDescent="0.25" r="80" customHeight="1" ht="18.75">
      <c r="A80" s="6">
        <v>79</v>
      </c>
      <c r="B80" s="7" t="s">
        <v>254</v>
      </c>
      <c r="C80" s="6">
        <v>32</v>
      </c>
      <c r="D80" s="7" t="s">
        <v>30</v>
      </c>
      <c r="E80" s="6">
        <v>5</v>
      </c>
      <c r="F80" s="7" t="s">
        <v>255</v>
      </c>
      <c r="G80" s="7" t="s">
        <v>256</v>
      </c>
      <c r="H80" s="6">
        <v>2</v>
      </c>
      <c r="I80" s="8">
        <f>VLOOKUP(E80,diagnosis!$A$1:$B$11,2,FALSE)</f>
      </c>
      <c r="J80" s="8">
        <f>VLOOKUP(H80,outcomes!$A$1:$B$4,2,FALSE)</f>
      </c>
      <c r="K80" s="6">
        <f>G80-F80</f>
      </c>
      <c r="L80" s="7" t="s">
        <v>33</v>
      </c>
      <c r="M80" s="6">
        <v>53174</v>
      </c>
      <c r="N80" s="7" t="s">
        <v>50</v>
      </c>
    </row>
    <row x14ac:dyDescent="0.25" r="81" customHeight="1" ht="18.75">
      <c r="A81" s="6">
        <v>80</v>
      </c>
      <c r="B81" s="7" t="s">
        <v>257</v>
      </c>
      <c r="C81" s="6">
        <v>4</v>
      </c>
      <c r="D81" s="7" t="s">
        <v>47</v>
      </c>
      <c r="E81" s="6">
        <v>6</v>
      </c>
      <c r="F81" s="7" t="s">
        <v>229</v>
      </c>
      <c r="G81" s="7" t="s">
        <v>230</v>
      </c>
      <c r="H81" s="6">
        <v>1</v>
      </c>
      <c r="I81" s="8">
        <f>VLOOKUP(E81,diagnosis!$A$1:$B$11,2,FALSE)</f>
      </c>
      <c r="J81" s="8">
        <f>VLOOKUP(H81,outcomes!$A$1:$B$4,2,FALSE)</f>
      </c>
      <c r="K81" s="6">
        <f>G81-F81</f>
      </c>
      <c r="L81" s="7" t="s">
        <v>33</v>
      </c>
      <c r="M81" s="6">
        <v>44550</v>
      </c>
      <c r="N81" s="7" t="s">
        <v>39</v>
      </c>
    </row>
    <row x14ac:dyDescent="0.25" r="82" customHeight="1" ht="18.75">
      <c r="A82" s="6">
        <v>81</v>
      </c>
      <c r="B82" s="7" t="s">
        <v>258</v>
      </c>
      <c r="C82" s="6">
        <v>36</v>
      </c>
      <c r="D82" s="7" t="s">
        <v>47</v>
      </c>
      <c r="E82" s="6">
        <v>9</v>
      </c>
      <c r="F82" s="7" t="s">
        <v>259</v>
      </c>
      <c r="G82" s="7" t="s">
        <v>260</v>
      </c>
      <c r="H82" s="6">
        <v>1</v>
      </c>
      <c r="I82" s="8">
        <f>VLOOKUP(E82,diagnosis!$A$1:$B$11,2,FALSE)</f>
      </c>
      <c r="J82" s="8">
        <f>VLOOKUP(H82,outcomes!$A$1:$B$4,2,FALSE)</f>
      </c>
      <c r="K82" s="6">
        <f>G82-F82</f>
      </c>
      <c r="L82" s="7" t="s">
        <v>33</v>
      </c>
      <c r="M82" s="6">
        <v>42933</v>
      </c>
      <c r="N82" s="7" t="s">
        <v>34</v>
      </c>
    </row>
    <row x14ac:dyDescent="0.25" r="83" customHeight="1" ht="18.75">
      <c r="A83" s="6">
        <v>82</v>
      </c>
      <c r="B83" s="7" t="s">
        <v>54</v>
      </c>
      <c r="C83" s="6">
        <v>63</v>
      </c>
      <c r="D83" s="7" t="s">
        <v>30</v>
      </c>
      <c r="E83" s="6">
        <v>8</v>
      </c>
      <c r="F83" s="7" t="s">
        <v>261</v>
      </c>
      <c r="G83" s="7" t="s">
        <v>262</v>
      </c>
      <c r="H83" s="6">
        <v>3</v>
      </c>
      <c r="I83" s="8">
        <f>VLOOKUP(E83,diagnosis!$A$1:$B$11,2,FALSE)</f>
      </c>
      <c r="J83" s="8">
        <f>VLOOKUP(H83,outcomes!$A$1:$B$4,2,FALSE)</f>
      </c>
      <c r="K83" s="6">
        <f>G83-F83</f>
      </c>
      <c r="L83" s="7" t="s">
        <v>33</v>
      </c>
      <c r="M83" s="6">
        <v>50442</v>
      </c>
      <c r="N83" s="7" t="s">
        <v>39</v>
      </c>
    </row>
    <row x14ac:dyDescent="0.25" r="84" customHeight="1" ht="18.75">
      <c r="A84" s="6">
        <v>83</v>
      </c>
      <c r="B84" s="7" t="s">
        <v>263</v>
      </c>
      <c r="C84" s="6">
        <v>38</v>
      </c>
      <c r="D84" s="7" t="s">
        <v>30</v>
      </c>
      <c r="E84" s="6">
        <v>7</v>
      </c>
      <c r="F84" s="7" t="s">
        <v>264</v>
      </c>
      <c r="G84" s="7" t="s">
        <v>265</v>
      </c>
      <c r="H84" s="6">
        <v>3</v>
      </c>
      <c r="I84" s="8">
        <f>VLOOKUP(E84,diagnosis!$A$1:$B$11,2,FALSE)</f>
      </c>
      <c r="J84" s="8">
        <f>VLOOKUP(H84,outcomes!$A$1:$B$4,2,FALSE)</f>
      </c>
      <c r="K84" s="6">
        <f>G84-F84</f>
      </c>
      <c r="L84" s="7" t="s">
        <v>60</v>
      </c>
      <c r="M84" s="6">
        <v>10332</v>
      </c>
      <c r="N84" s="7" t="s">
        <v>50</v>
      </c>
    </row>
    <row x14ac:dyDescent="0.25" r="85" customHeight="1" ht="18.75">
      <c r="A85" s="6">
        <v>84</v>
      </c>
      <c r="B85" s="7" t="s">
        <v>266</v>
      </c>
      <c r="C85" s="6">
        <v>71</v>
      </c>
      <c r="D85" s="7" t="s">
        <v>47</v>
      </c>
      <c r="E85" s="6">
        <v>7</v>
      </c>
      <c r="F85" s="7" t="s">
        <v>267</v>
      </c>
      <c r="G85" s="7" t="s">
        <v>268</v>
      </c>
      <c r="H85" s="6">
        <v>3</v>
      </c>
      <c r="I85" s="8">
        <f>VLOOKUP(E85,diagnosis!$A$1:$B$11,2,FALSE)</f>
      </c>
      <c r="J85" s="8">
        <f>VLOOKUP(H85,outcomes!$A$1:$B$4,2,FALSE)</f>
      </c>
      <c r="K85" s="6">
        <f>G85-F85</f>
      </c>
      <c r="L85" s="7" t="s">
        <v>33</v>
      </c>
      <c r="M85" s="6">
        <v>73200</v>
      </c>
      <c r="N85" s="7" t="s">
        <v>39</v>
      </c>
    </row>
    <row x14ac:dyDescent="0.25" r="86" customHeight="1" ht="18.75">
      <c r="A86" s="6">
        <v>85</v>
      </c>
      <c r="B86" s="7" t="s">
        <v>269</v>
      </c>
      <c r="C86" s="6">
        <v>40</v>
      </c>
      <c r="D86" s="7" t="s">
        <v>47</v>
      </c>
      <c r="E86" s="6">
        <v>4</v>
      </c>
      <c r="F86" s="7" t="s">
        <v>82</v>
      </c>
      <c r="G86" s="7" t="s">
        <v>270</v>
      </c>
      <c r="H86" s="6">
        <v>1</v>
      </c>
      <c r="I86" s="8">
        <f>VLOOKUP(E86,diagnosis!$A$1:$B$11,2,FALSE)</f>
      </c>
      <c r="J86" s="8">
        <f>VLOOKUP(H86,outcomes!$A$1:$B$4,2,FALSE)</f>
      </c>
      <c r="K86" s="6">
        <f>G86-F86</f>
      </c>
      <c r="L86" s="7" t="s">
        <v>33</v>
      </c>
      <c r="M86" s="6">
        <v>41310</v>
      </c>
      <c r="N86" s="7" t="s">
        <v>50</v>
      </c>
    </row>
    <row x14ac:dyDescent="0.25" r="87" customHeight="1" ht="18.75">
      <c r="A87" s="6">
        <v>86</v>
      </c>
      <c r="B87" s="7" t="s">
        <v>271</v>
      </c>
      <c r="C87" s="6">
        <v>89</v>
      </c>
      <c r="D87" s="7" t="s">
        <v>30</v>
      </c>
      <c r="E87" s="6">
        <v>4</v>
      </c>
      <c r="F87" s="7" t="s">
        <v>272</v>
      </c>
      <c r="G87" s="7" t="s">
        <v>273</v>
      </c>
      <c r="H87" s="6">
        <v>1</v>
      </c>
      <c r="I87" s="8">
        <f>VLOOKUP(E87,diagnosis!$A$1:$B$11,2,FALSE)</f>
      </c>
      <c r="J87" s="8">
        <f>VLOOKUP(H87,outcomes!$A$1:$B$4,2,FALSE)</f>
      </c>
      <c r="K87" s="6">
        <f>G87-F87</f>
      </c>
      <c r="L87" s="7" t="s">
        <v>33</v>
      </c>
      <c r="M87" s="6">
        <v>63036</v>
      </c>
      <c r="N87" s="7" t="s">
        <v>39</v>
      </c>
    </row>
    <row x14ac:dyDescent="0.25" r="88" customHeight="1" ht="18.75">
      <c r="A88" s="6">
        <v>87</v>
      </c>
      <c r="B88" s="7" t="s">
        <v>274</v>
      </c>
      <c r="C88" s="6">
        <v>37</v>
      </c>
      <c r="D88" s="7" t="s">
        <v>30</v>
      </c>
      <c r="E88" s="6">
        <v>4</v>
      </c>
      <c r="F88" s="7" t="s">
        <v>275</v>
      </c>
      <c r="G88" s="7" t="s">
        <v>276</v>
      </c>
      <c r="H88" s="6">
        <v>2</v>
      </c>
      <c r="I88" s="8">
        <f>VLOOKUP(E88,diagnosis!$A$1:$B$11,2,FALSE)</f>
      </c>
      <c r="J88" s="8">
        <f>VLOOKUP(H88,outcomes!$A$1:$B$4,2,FALSE)</f>
      </c>
      <c r="K88" s="6">
        <f>G88-F88</f>
      </c>
      <c r="L88" s="7" t="s">
        <v>33</v>
      </c>
      <c r="M88" s="6">
        <v>89620</v>
      </c>
      <c r="N88" s="7" t="s">
        <v>34</v>
      </c>
    </row>
    <row x14ac:dyDescent="0.25" r="89" customHeight="1" ht="18.75">
      <c r="A89" s="6">
        <v>88</v>
      </c>
      <c r="B89" s="7" t="s">
        <v>240</v>
      </c>
      <c r="C89" s="6">
        <v>69</v>
      </c>
      <c r="D89" s="7" t="s">
        <v>30</v>
      </c>
      <c r="E89" s="6">
        <v>5</v>
      </c>
      <c r="F89" s="7" t="s">
        <v>277</v>
      </c>
      <c r="G89" s="7" t="s">
        <v>278</v>
      </c>
      <c r="H89" s="6">
        <v>1</v>
      </c>
      <c r="I89" s="8">
        <f>VLOOKUP(E89,diagnosis!$A$1:$B$11,2,FALSE)</f>
      </c>
      <c r="J89" s="8">
        <f>VLOOKUP(H89,outcomes!$A$1:$B$4,2,FALSE)</f>
      </c>
      <c r="K89" s="6">
        <f>G89-F89</f>
      </c>
      <c r="L89" s="7" t="s">
        <v>33</v>
      </c>
      <c r="M89" s="6">
        <v>3160</v>
      </c>
      <c r="N89" s="7" t="s">
        <v>34</v>
      </c>
    </row>
    <row x14ac:dyDescent="0.25" r="90" customHeight="1" ht="18.75">
      <c r="A90" s="6">
        <v>89</v>
      </c>
      <c r="B90" s="7" t="s">
        <v>279</v>
      </c>
      <c r="C90" s="6">
        <v>14</v>
      </c>
      <c r="D90" s="7" t="s">
        <v>30</v>
      </c>
      <c r="E90" s="6">
        <v>10</v>
      </c>
      <c r="F90" s="7" t="s">
        <v>280</v>
      </c>
      <c r="G90" s="7" t="s">
        <v>281</v>
      </c>
      <c r="H90" s="6">
        <v>2</v>
      </c>
      <c r="I90" s="8">
        <f>VLOOKUP(E90,diagnosis!$A$1:$B$11,2,FALSE)</f>
      </c>
      <c r="J90" s="8">
        <f>VLOOKUP(H90,outcomes!$A$1:$B$4,2,FALSE)</f>
      </c>
      <c r="K90" s="6">
        <f>G90-F90</f>
      </c>
      <c r="L90" s="7" t="s">
        <v>33</v>
      </c>
      <c r="M90" s="6">
        <v>43936</v>
      </c>
      <c r="N90" s="7" t="s">
        <v>39</v>
      </c>
    </row>
    <row x14ac:dyDescent="0.25" r="91" customHeight="1" ht="18.75">
      <c r="A91" s="6">
        <v>90</v>
      </c>
      <c r="B91" s="7" t="s">
        <v>263</v>
      </c>
      <c r="C91" s="6">
        <v>7</v>
      </c>
      <c r="D91" s="7" t="s">
        <v>47</v>
      </c>
      <c r="E91" s="6">
        <v>8</v>
      </c>
      <c r="F91" s="7" t="s">
        <v>282</v>
      </c>
      <c r="G91" s="7" t="s">
        <v>283</v>
      </c>
      <c r="H91" s="6">
        <v>1</v>
      </c>
      <c r="I91" s="8">
        <f>VLOOKUP(E91,diagnosis!$A$1:$B$11,2,FALSE)</f>
      </c>
      <c r="J91" s="8">
        <f>VLOOKUP(H91,outcomes!$A$1:$B$4,2,FALSE)</f>
      </c>
      <c r="K91" s="6">
        <f>G91-F91</f>
      </c>
      <c r="L91" s="7" t="s">
        <v>33</v>
      </c>
      <c r="M91" s="6">
        <v>18900</v>
      </c>
      <c r="N91" s="7" t="s">
        <v>34</v>
      </c>
    </row>
    <row x14ac:dyDescent="0.25" r="92" customHeight="1" ht="18.75">
      <c r="A92" s="6">
        <v>91</v>
      </c>
      <c r="B92" s="7" t="s">
        <v>284</v>
      </c>
      <c r="C92" s="6">
        <v>81</v>
      </c>
      <c r="D92" s="7" t="s">
        <v>30</v>
      </c>
      <c r="E92" s="6">
        <v>3</v>
      </c>
      <c r="F92" s="7" t="s">
        <v>285</v>
      </c>
      <c r="G92" s="7" t="s">
        <v>286</v>
      </c>
      <c r="H92" s="6">
        <v>1</v>
      </c>
      <c r="I92" s="8">
        <f>VLOOKUP(E92,diagnosis!$A$1:$B$11,2,FALSE)</f>
      </c>
      <c r="J92" s="8">
        <f>VLOOKUP(H92,outcomes!$A$1:$B$4,2,FALSE)</f>
      </c>
      <c r="K92" s="6">
        <f>G92-F92</f>
      </c>
      <c r="L92" s="7" t="s">
        <v>33</v>
      </c>
      <c r="M92" s="6">
        <v>45372</v>
      </c>
      <c r="N92" s="7" t="s">
        <v>50</v>
      </c>
    </row>
    <row x14ac:dyDescent="0.25" r="93" customHeight="1" ht="18.75">
      <c r="A93" s="6">
        <v>92</v>
      </c>
      <c r="B93" s="7" t="s">
        <v>287</v>
      </c>
      <c r="C93" s="6">
        <v>72</v>
      </c>
      <c r="D93" s="7" t="s">
        <v>47</v>
      </c>
      <c r="E93" s="6">
        <v>10</v>
      </c>
      <c r="F93" s="7" t="s">
        <v>262</v>
      </c>
      <c r="G93" s="7" t="s">
        <v>288</v>
      </c>
      <c r="H93" s="6">
        <v>3</v>
      </c>
      <c r="I93" s="8">
        <f>VLOOKUP(E93,diagnosis!$A$1:$B$11,2,FALSE)</f>
      </c>
      <c r="J93" s="8">
        <f>VLOOKUP(H93,outcomes!$A$1:$B$4,2,FALSE)</f>
      </c>
      <c r="K93" s="6">
        <f>G93-F93</f>
      </c>
      <c r="L93" s="7" t="s">
        <v>33</v>
      </c>
      <c r="M93" s="6">
        <v>16900</v>
      </c>
      <c r="N93" s="7" t="s">
        <v>34</v>
      </c>
    </row>
    <row x14ac:dyDescent="0.25" r="94" customHeight="1" ht="18.75">
      <c r="A94" s="6">
        <v>93</v>
      </c>
      <c r="B94" s="7" t="s">
        <v>289</v>
      </c>
      <c r="C94" s="6">
        <v>57</v>
      </c>
      <c r="D94" s="7" t="s">
        <v>47</v>
      </c>
      <c r="E94" s="6">
        <v>10</v>
      </c>
      <c r="F94" s="7" t="s">
        <v>217</v>
      </c>
      <c r="G94" s="7" t="s">
        <v>290</v>
      </c>
      <c r="H94" s="6">
        <v>2</v>
      </c>
      <c r="I94" s="8">
        <f>VLOOKUP(E94,diagnosis!$A$1:$B$11,2,FALSE)</f>
      </c>
      <c r="J94" s="8">
        <f>VLOOKUP(H94,outcomes!$A$1:$B$4,2,FALSE)</f>
      </c>
      <c r="K94" s="6">
        <f>G94-F94</f>
      </c>
      <c r="L94" s="7" t="s">
        <v>33</v>
      </c>
      <c r="M94" s="6">
        <v>51210</v>
      </c>
      <c r="N94" s="7" t="s">
        <v>50</v>
      </c>
    </row>
    <row x14ac:dyDescent="0.25" r="95" customHeight="1" ht="18.75">
      <c r="A95" s="6">
        <v>94</v>
      </c>
      <c r="B95" s="7" t="s">
        <v>291</v>
      </c>
      <c r="C95" s="6">
        <v>13</v>
      </c>
      <c r="D95" s="7" t="s">
        <v>30</v>
      </c>
      <c r="E95" s="6">
        <v>4</v>
      </c>
      <c r="F95" s="7" t="s">
        <v>292</v>
      </c>
      <c r="G95" s="7" t="s">
        <v>293</v>
      </c>
      <c r="H95" s="6">
        <v>2</v>
      </c>
      <c r="I95" s="8">
        <f>VLOOKUP(E95,diagnosis!$A$1:$B$11,2,FALSE)</f>
      </c>
      <c r="J95" s="8">
        <f>VLOOKUP(H95,outcomes!$A$1:$B$4,2,FALSE)</f>
      </c>
      <c r="K95" s="6">
        <f>G95-F95</f>
      </c>
      <c r="L95" s="7" t="s">
        <v>33</v>
      </c>
      <c r="M95" s="6">
        <v>62300</v>
      </c>
      <c r="N95" s="7" t="s">
        <v>50</v>
      </c>
    </row>
    <row x14ac:dyDescent="0.25" r="96" customHeight="1" ht="18.75">
      <c r="A96" s="6">
        <v>95</v>
      </c>
      <c r="B96" s="7" t="s">
        <v>294</v>
      </c>
      <c r="C96" s="6">
        <v>71</v>
      </c>
      <c r="D96" s="7" t="s">
        <v>30</v>
      </c>
      <c r="E96" s="6">
        <v>3</v>
      </c>
      <c r="F96" s="7" t="s">
        <v>295</v>
      </c>
      <c r="G96" s="7" t="s">
        <v>296</v>
      </c>
      <c r="H96" s="6">
        <v>1</v>
      </c>
      <c r="I96" s="8">
        <f>VLOOKUP(E96,diagnosis!$A$1:$B$11,2,FALSE)</f>
      </c>
      <c r="J96" s="8">
        <f>VLOOKUP(H96,outcomes!$A$1:$B$4,2,FALSE)</f>
      </c>
      <c r="K96" s="6">
        <f>G96-F96</f>
      </c>
      <c r="L96" s="7" t="s">
        <v>33</v>
      </c>
      <c r="M96" s="6">
        <v>13122</v>
      </c>
      <c r="N96" s="7" t="s">
        <v>34</v>
      </c>
    </row>
    <row x14ac:dyDescent="0.25" r="97" customHeight="1" ht="18.75">
      <c r="A97" s="6">
        <v>96</v>
      </c>
      <c r="B97" s="7" t="s">
        <v>297</v>
      </c>
      <c r="C97" s="6">
        <v>5</v>
      </c>
      <c r="D97" s="7" t="s">
        <v>30</v>
      </c>
      <c r="E97" s="6">
        <v>5</v>
      </c>
      <c r="F97" s="7" t="s">
        <v>298</v>
      </c>
      <c r="G97" s="7" t="s">
        <v>299</v>
      </c>
      <c r="H97" s="6">
        <v>3</v>
      </c>
      <c r="I97" s="8">
        <f>VLOOKUP(E97,diagnosis!$A$1:$B$11,2,FALSE)</f>
      </c>
      <c r="J97" s="8">
        <f>VLOOKUP(H97,outcomes!$A$1:$B$4,2,FALSE)</f>
      </c>
      <c r="K97" s="6">
        <f>G97-F97</f>
      </c>
      <c r="L97" s="7" t="s">
        <v>33</v>
      </c>
      <c r="M97" s="6">
        <v>41400</v>
      </c>
      <c r="N97" s="7" t="s">
        <v>39</v>
      </c>
    </row>
    <row x14ac:dyDescent="0.25" r="98" customHeight="1" ht="18.75">
      <c r="A98" s="6">
        <v>97</v>
      </c>
      <c r="B98" s="7" t="s">
        <v>300</v>
      </c>
      <c r="C98" s="6">
        <v>81</v>
      </c>
      <c r="D98" s="7" t="s">
        <v>30</v>
      </c>
      <c r="E98" s="6">
        <v>7</v>
      </c>
      <c r="F98" s="7" t="s">
        <v>301</v>
      </c>
      <c r="G98" s="7" t="s">
        <v>302</v>
      </c>
      <c r="H98" s="6">
        <v>1</v>
      </c>
      <c r="I98" s="8">
        <f>VLOOKUP(E98,diagnosis!$A$1:$B$11,2,FALSE)</f>
      </c>
      <c r="J98" s="8">
        <f>VLOOKUP(H98,outcomes!$A$1:$B$4,2,FALSE)</f>
      </c>
      <c r="K98" s="6">
        <f>G98-F98</f>
      </c>
      <c r="L98" s="7" t="s">
        <v>33</v>
      </c>
      <c r="M98" s="6">
        <v>22284</v>
      </c>
      <c r="N98" s="7" t="s">
        <v>34</v>
      </c>
    </row>
    <row x14ac:dyDescent="0.25" r="99" customHeight="1" ht="18.75">
      <c r="A99" s="6">
        <v>98</v>
      </c>
      <c r="B99" s="7" t="s">
        <v>237</v>
      </c>
      <c r="C99" s="6">
        <v>10</v>
      </c>
      <c r="D99" s="7" t="s">
        <v>30</v>
      </c>
      <c r="E99" s="6">
        <v>3</v>
      </c>
      <c r="F99" s="7" t="s">
        <v>303</v>
      </c>
      <c r="G99" s="7" t="s">
        <v>255</v>
      </c>
      <c r="H99" s="6">
        <v>2</v>
      </c>
      <c r="I99" s="8">
        <f>VLOOKUP(E99,diagnosis!$A$1:$B$11,2,FALSE)</f>
      </c>
      <c r="J99" s="8">
        <f>VLOOKUP(H99,outcomes!$A$1:$B$4,2,FALSE)</f>
      </c>
      <c r="K99" s="6">
        <f>G99-F99</f>
      </c>
      <c r="L99" s="7" t="s">
        <v>33</v>
      </c>
      <c r="M99" s="6">
        <v>17725</v>
      </c>
      <c r="N99" s="7" t="s">
        <v>39</v>
      </c>
    </row>
    <row x14ac:dyDescent="0.25" r="100" customHeight="1" ht="18.75">
      <c r="A100" s="6">
        <v>99</v>
      </c>
      <c r="B100" s="7" t="s">
        <v>304</v>
      </c>
      <c r="C100" s="6">
        <v>60</v>
      </c>
      <c r="D100" s="7" t="s">
        <v>47</v>
      </c>
      <c r="E100" s="6">
        <v>7</v>
      </c>
      <c r="F100" s="7" t="s">
        <v>305</v>
      </c>
      <c r="G100" s="7" t="s">
        <v>306</v>
      </c>
      <c r="H100" s="6">
        <v>2</v>
      </c>
      <c r="I100" s="8">
        <f>VLOOKUP(E100,diagnosis!$A$1:$B$11,2,FALSE)</f>
      </c>
      <c r="J100" s="8">
        <f>VLOOKUP(H100,outcomes!$A$1:$B$4,2,FALSE)</f>
      </c>
      <c r="K100" s="6">
        <f>G100-F100</f>
      </c>
      <c r="L100" s="7" t="s">
        <v>60</v>
      </c>
      <c r="M100" s="6">
        <v>10204</v>
      </c>
      <c r="N100" s="7" t="s">
        <v>34</v>
      </c>
    </row>
    <row x14ac:dyDescent="0.25" r="101" customHeight="1" ht="18.75">
      <c r="A101" s="6">
        <v>100</v>
      </c>
      <c r="B101" s="7" t="s">
        <v>307</v>
      </c>
      <c r="C101" s="6">
        <v>77</v>
      </c>
      <c r="D101" s="7" t="s">
        <v>30</v>
      </c>
      <c r="E101" s="6">
        <v>7</v>
      </c>
      <c r="F101" s="7" t="s">
        <v>308</v>
      </c>
      <c r="G101" s="7" t="s">
        <v>305</v>
      </c>
      <c r="H101" s="6">
        <v>3</v>
      </c>
      <c r="I101" s="8">
        <f>VLOOKUP(E101,diagnosis!$A$1:$B$11,2,FALSE)</f>
      </c>
      <c r="J101" s="8">
        <f>VLOOKUP(H101,outcomes!$A$1:$B$4,2,FALSE)</f>
      </c>
      <c r="K101" s="6">
        <f>G101-F101</f>
      </c>
      <c r="L101" s="7" t="s">
        <v>33</v>
      </c>
      <c r="M101" s="6">
        <v>11373</v>
      </c>
      <c r="N101" s="7" t="s">
        <v>39</v>
      </c>
    </row>
    <row x14ac:dyDescent="0.25" r="102" customHeight="1" ht="18.75">
      <c r="A102" s="6">
        <v>101</v>
      </c>
      <c r="B102" s="7" t="s">
        <v>309</v>
      </c>
      <c r="C102" s="6">
        <v>30</v>
      </c>
      <c r="D102" s="7" t="s">
        <v>30</v>
      </c>
      <c r="E102" s="6">
        <v>5</v>
      </c>
      <c r="F102" s="7" t="s">
        <v>310</v>
      </c>
      <c r="G102" s="7" t="s">
        <v>226</v>
      </c>
      <c r="H102" s="6">
        <v>3</v>
      </c>
      <c r="I102" s="8">
        <f>VLOOKUP(E102,diagnosis!$A$1:$B$11,2,FALSE)</f>
      </c>
      <c r="J102" s="8">
        <f>VLOOKUP(H102,outcomes!$A$1:$B$4,2,FALSE)</f>
      </c>
      <c r="K102" s="6">
        <f>G102-F102</f>
      </c>
      <c r="L102" s="7" t="s">
        <v>38</v>
      </c>
      <c r="M102" s="6">
        <v>12834</v>
      </c>
      <c r="N102" s="7" t="s">
        <v>39</v>
      </c>
    </row>
    <row x14ac:dyDescent="0.25" r="103" customHeight="1" ht="18.75">
      <c r="A103" s="6">
        <v>102</v>
      </c>
      <c r="B103" s="7" t="s">
        <v>311</v>
      </c>
      <c r="C103" s="6">
        <v>36</v>
      </c>
      <c r="D103" s="7" t="s">
        <v>30</v>
      </c>
      <c r="E103" s="6">
        <v>10</v>
      </c>
      <c r="F103" s="7" t="s">
        <v>312</v>
      </c>
      <c r="G103" s="7" t="s">
        <v>313</v>
      </c>
      <c r="H103" s="6">
        <v>2</v>
      </c>
      <c r="I103" s="8">
        <f>VLOOKUP(E103,diagnosis!$A$1:$B$11,2,FALSE)</f>
      </c>
      <c r="J103" s="8">
        <f>VLOOKUP(H103,outcomes!$A$1:$B$4,2,FALSE)</f>
      </c>
      <c r="K103" s="6">
        <f>G103-F103</f>
      </c>
      <c r="L103" s="7" t="s">
        <v>33</v>
      </c>
      <c r="M103" s="6">
        <v>68715</v>
      </c>
      <c r="N103" s="7" t="s">
        <v>50</v>
      </c>
    </row>
    <row x14ac:dyDescent="0.25" r="104" customHeight="1" ht="18.75">
      <c r="A104" s="6">
        <v>103</v>
      </c>
      <c r="B104" s="7" t="s">
        <v>314</v>
      </c>
      <c r="C104" s="6">
        <v>53</v>
      </c>
      <c r="D104" s="7" t="s">
        <v>47</v>
      </c>
      <c r="E104" s="6">
        <v>6</v>
      </c>
      <c r="F104" s="7" t="s">
        <v>298</v>
      </c>
      <c r="G104" s="7" t="s">
        <v>315</v>
      </c>
      <c r="H104" s="6">
        <v>3</v>
      </c>
      <c r="I104" s="8">
        <f>VLOOKUP(E104,diagnosis!$A$1:$B$11,2,FALSE)</f>
      </c>
      <c r="J104" s="8">
        <f>VLOOKUP(H104,outcomes!$A$1:$B$4,2,FALSE)</f>
      </c>
      <c r="K104" s="6">
        <f>G104-F104</f>
      </c>
      <c r="L104" s="7" t="s">
        <v>33</v>
      </c>
      <c r="M104" s="6">
        <v>24012</v>
      </c>
      <c r="N104" s="7" t="s">
        <v>39</v>
      </c>
    </row>
    <row x14ac:dyDescent="0.25" r="105" customHeight="1" ht="18.75">
      <c r="A105" s="6">
        <v>104</v>
      </c>
      <c r="B105" s="7" t="s">
        <v>316</v>
      </c>
      <c r="C105" s="6">
        <v>37</v>
      </c>
      <c r="D105" s="7" t="s">
        <v>47</v>
      </c>
      <c r="E105" s="6">
        <v>9</v>
      </c>
      <c r="F105" s="7" t="s">
        <v>317</v>
      </c>
      <c r="G105" s="7" t="s">
        <v>318</v>
      </c>
      <c r="H105" s="6">
        <v>1</v>
      </c>
      <c r="I105" s="8">
        <f>VLOOKUP(E105,diagnosis!$A$1:$B$11,2,FALSE)</f>
      </c>
      <c r="J105" s="8">
        <f>VLOOKUP(H105,outcomes!$A$1:$B$4,2,FALSE)</f>
      </c>
      <c r="K105" s="6">
        <f>G105-F105</f>
      </c>
      <c r="L105" s="7" t="s">
        <v>33</v>
      </c>
      <c r="M105" s="6">
        <v>74464</v>
      </c>
      <c r="N105" s="7" t="s">
        <v>34</v>
      </c>
    </row>
    <row x14ac:dyDescent="0.25" r="106" customHeight="1" ht="18.75">
      <c r="A106" s="6">
        <v>105</v>
      </c>
      <c r="B106" s="7" t="s">
        <v>98</v>
      </c>
      <c r="C106" s="6">
        <v>15</v>
      </c>
      <c r="D106" s="7" t="s">
        <v>47</v>
      </c>
      <c r="E106" s="6">
        <v>9</v>
      </c>
      <c r="F106" s="7" t="s">
        <v>232</v>
      </c>
      <c r="G106" s="7" t="s">
        <v>319</v>
      </c>
      <c r="H106" s="6">
        <v>1</v>
      </c>
      <c r="I106" s="8">
        <f>VLOOKUP(E106,diagnosis!$A$1:$B$11,2,FALSE)</f>
      </c>
      <c r="J106" s="8">
        <f>VLOOKUP(H106,outcomes!$A$1:$B$4,2,FALSE)</f>
      </c>
      <c r="K106" s="6">
        <f>G106-F106</f>
      </c>
      <c r="L106" s="7" t="s">
        <v>33</v>
      </c>
      <c r="M106" s="6">
        <v>31746</v>
      </c>
      <c r="N106" s="7" t="s">
        <v>34</v>
      </c>
    </row>
    <row x14ac:dyDescent="0.25" r="107" customHeight="1" ht="18.75">
      <c r="A107" s="6">
        <v>106</v>
      </c>
      <c r="B107" s="7" t="s">
        <v>112</v>
      </c>
      <c r="C107" s="6">
        <v>25</v>
      </c>
      <c r="D107" s="7" t="s">
        <v>47</v>
      </c>
      <c r="E107" s="6">
        <v>10</v>
      </c>
      <c r="F107" s="7" t="s">
        <v>320</v>
      </c>
      <c r="G107" s="7" t="s">
        <v>198</v>
      </c>
      <c r="H107" s="6">
        <v>2</v>
      </c>
      <c r="I107" s="8">
        <f>VLOOKUP(E107,diagnosis!$A$1:$B$11,2,FALSE)</f>
      </c>
      <c r="J107" s="8">
        <f>VLOOKUP(H107,outcomes!$A$1:$B$4,2,FALSE)</f>
      </c>
      <c r="K107" s="6">
        <f>G107-F107</f>
      </c>
      <c r="L107" s="7" t="s">
        <v>38</v>
      </c>
      <c r="M107" s="6">
        <v>4746</v>
      </c>
      <c r="N107" s="7" t="s">
        <v>39</v>
      </c>
    </row>
    <row x14ac:dyDescent="0.25" r="108" customHeight="1" ht="18.75">
      <c r="A108" s="6">
        <v>107</v>
      </c>
      <c r="B108" s="7" t="s">
        <v>321</v>
      </c>
      <c r="C108" s="6">
        <v>71</v>
      </c>
      <c r="D108" s="7" t="s">
        <v>30</v>
      </c>
      <c r="E108" s="6">
        <v>5</v>
      </c>
      <c r="F108" s="7" t="s">
        <v>322</v>
      </c>
      <c r="G108" s="7" t="s">
        <v>42</v>
      </c>
      <c r="H108" s="6">
        <v>2</v>
      </c>
      <c r="I108" s="8">
        <f>VLOOKUP(E108,diagnosis!$A$1:$B$11,2,FALSE)</f>
      </c>
      <c r="J108" s="8">
        <f>VLOOKUP(H108,outcomes!$A$1:$B$4,2,FALSE)</f>
      </c>
      <c r="K108" s="6">
        <f>G108-F108</f>
      </c>
      <c r="L108" s="7" t="s">
        <v>33</v>
      </c>
      <c r="M108" s="6">
        <v>40464</v>
      </c>
      <c r="N108" s="7" t="s">
        <v>39</v>
      </c>
    </row>
    <row x14ac:dyDescent="0.25" r="109" customHeight="1" ht="18.75">
      <c r="A109" s="6">
        <v>108</v>
      </c>
      <c r="B109" s="7" t="s">
        <v>323</v>
      </c>
      <c r="C109" s="6">
        <v>31</v>
      </c>
      <c r="D109" s="7" t="s">
        <v>30</v>
      </c>
      <c r="E109" s="6">
        <v>5</v>
      </c>
      <c r="F109" s="7" t="s">
        <v>324</v>
      </c>
      <c r="G109" s="7" t="s">
        <v>325</v>
      </c>
      <c r="H109" s="6">
        <v>3</v>
      </c>
      <c r="I109" s="8">
        <f>VLOOKUP(E109,diagnosis!$A$1:$B$11,2,FALSE)</f>
      </c>
      <c r="J109" s="8">
        <f>VLOOKUP(H109,outcomes!$A$1:$B$4,2,FALSE)</f>
      </c>
      <c r="K109" s="6">
        <f>G109-F109</f>
      </c>
      <c r="L109" s="7" t="s">
        <v>33</v>
      </c>
      <c r="M109" s="6">
        <v>53040</v>
      </c>
      <c r="N109" s="7" t="s">
        <v>39</v>
      </c>
    </row>
    <row x14ac:dyDescent="0.25" r="110" customHeight="1" ht="18.75">
      <c r="A110" s="6">
        <v>109</v>
      </c>
      <c r="B110" s="7" t="s">
        <v>326</v>
      </c>
      <c r="C110" s="6">
        <v>15</v>
      </c>
      <c r="D110" s="7" t="s">
        <v>47</v>
      </c>
      <c r="E110" s="6">
        <v>2</v>
      </c>
      <c r="F110" s="7" t="s">
        <v>327</v>
      </c>
      <c r="G110" s="7" t="s">
        <v>48</v>
      </c>
      <c r="H110" s="6">
        <v>3</v>
      </c>
      <c r="I110" s="8">
        <f>VLOOKUP(E110,diagnosis!$A$1:$B$11,2,FALSE)</f>
      </c>
      <c r="J110" s="8">
        <f>VLOOKUP(H110,outcomes!$A$1:$B$4,2,FALSE)</f>
      </c>
      <c r="K110" s="6">
        <f>G110-F110</f>
      </c>
      <c r="L110" s="7" t="s">
        <v>33</v>
      </c>
      <c r="M110" s="6">
        <v>22384</v>
      </c>
      <c r="N110" s="7" t="s">
        <v>39</v>
      </c>
    </row>
    <row x14ac:dyDescent="0.25" r="111" customHeight="1" ht="18.75">
      <c r="A111" s="6">
        <v>110</v>
      </c>
      <c r="B111" s="7" t="s">
        <v>328</v>
      </c>
      <c r="C111" s="6">
        <v>54</v>
      </c>
      <c r="D111" s="7" t="s">
        <v>47</v>
      </c>
      <c r="E111" s="6">
        <v>8</v>
      </c>
      <c r="F111" s="7" t="s">
        <v>329</v>
      </c>
      <c r="G111" s="7" t="s">
        <v>330</v>
      </c>
      <c r="H111" s="6">
        <v>1</v>
      </c>
      <c r="I111" s="8">
        <f>VLOOKUP(E111,diagnosis!$A$1:$B$11,2,FALSE)</f>
      </c>
      <c r="J111" s="8">
        <f>VLOOKUP(H111,outcomes!$A$1:$B$4,2,FALSE)</f>
      </c>
      <c r="K111" s="6">
        <f>G111-F111</f>
      </c>
      <c r="L111" s="7" t="s">
        <v>33</v>
      </c>
      <c r="M111" s="6">
        <v>39087</v>
      </c>
      <c r="N111" s="7" t="s">
        <v>39</v>
      </c>
    </row>
    <row x14ac:dyDescent="0.25" r="112" customHeight="1" ht="18.75">
      <c r="A112" s="6">
        <v>111</v>
      </c>
      <c r="B112" s="7" t="s">
        <v>147</v>
      </c>
      <c r="C112" s="6">
        <v>77</v>
      </c>
      <c r="D112" s="7" t="s">
        <v>30</v>
      </c>
      <c r="E112" s="6">
        <v>2</v>
      </c>
      <c r="F112" s="7" t="s">
        <v>331</v>
      </c>
      <c r="G112" s="7" t="s">
        <v>332</v>
      </c>
      <c r="H112" s="6">
        <v>2</v>
      </c>
      <c r="I112" s="8">
        <f>VLOOKUP(E112,diagnosis!$A$1:$B$11,2,FALSE)</f>
      </c>
      <c r="J112" s="8">
        <f>VLOOKUP(H112,outcomes!$A$1:$B$4,2,FALSE)</f>
      </c>
      <c r="K112" s="6">
        <f>G112-F112</f>
      </c>
      <c r="L112" s="7" t="s">
        <v>33</v>
      </c>
      <c r="M112" s="6">
        <v>18515</v>
      </c>
      <c r="N112" s="7" t="s">
        <v>50</v>
      </c>
    </row>
    <row x14ac:dyDescent="0.25" r="113" customHeight="1" ht="18.75">
      <c r="A113" s="6">
        <v>112</v>
      </c>
      <c r="B113" s="7" t="s">
        <v>333</v>
      </c>
      <c r="C113" s="6">
        <v>37</v>
      </c>
      <c r="D113" s="7" t="s">
        <v>47</v>
      </c>
      <c r="E113" s="6">
        <v>10</v>
      </c>
      <c r="F113" s="7" t="s">
        <v>334</v>
      </c>
      <c r="G113" s="7" t="s">
        <v>335</v>
      </c>
      <c r="H113" s="6">
        <v>3</v>
      </c>
      <c r="I113" s="8">
        <f>VLOOKUP(E113,diagnosis!$A$1:$B$11,2,FALSE)</f>
      </c>
      <c r="J113" s="8">
        <f>VLOOKUP(H113,outcomes!$A$1:$B$4,2,FALSE)</f>
      </c>
      <c r="K113" s="6">
        <f>G113-F113</f>
      </c>
      <c r="L113" s="7" t="s">
        <v>60</v>
      </c>
      <c r="M113" s="6">
        <v>2872</v>
      </c>
      <c r="N113" s="7" t="s">
        <v>50</v>
      </c>
    </row>
    <row x14ac:dyDescent="0.25" r="114" customHeight="1" ht="18.75">
      <c r="A114" s="6">
        <v>113</v>
      </c>
      <c r="B114" s="7" t="s">
        <v>336</v>
      </c>
      <c r="C114" s="6">
        <v>62</v>
      </c>
      <c r="D114" s="7" t="s">
        <v>47</v>
      </c>
      <c r="E114" s="6">
        <v>6</v>
      </c>
      <c r="F114" s="7" t="s">
        <v>337</v>
      </c>
      <c r="G114" s="7" t="s">
        <v>338</v>
      </c>
      <c r="H114" s="6">
        <v>3</v>
      </c>
      <c r="I114" s="8">
        <f>VLOOKUP(E114,diagnosis!$A$1:$B$11,2,FALSE)</f>
      </c>
      <c r="J114" s="8">
        <f>VLOOKUP(H114,outcomes!$A$1:$B$4,2,FALSE)</f>
      </c>
      <c r="K114" s="6">
        <f>G114-F114</f>
      </c>
      <c r="L114" s="7" t="s">
        <v>33</v>
      </c>
      <c r="M114" s="6">
        <v>78876</v>
      </c>
      <c r="N114" s="7" t="s">
        <v>50</v>
      </c>
    </row>
    <row x14ac:dyDescent="0.25" r="115" customHeight="1" ht="18.75">
      <c r="A115" s="6">
        <v>114</v>
      </c>
      <c r="B115" s="7" t="s">
        <v>339</v>
      </c>
      <c r="C115" s="6">
        <v>90</v>
      </c>
      <c r="D115" s="7" t="s">
        <v>30</v>
      </c>
      <c r="E115" s="6">
        <v>10</v>
      </c>
      <c r="F115" s="7" t="s">
        <v>340</v>
      </c>
      <c r="G115" s="7" t="s">
        <v>66</v>
      </c>
      <c r="H115" s="6">
        <v>2</v>
      </c>
      <c r="I115" s="8">
        <f>VLOOKUP(E115,diagnosis!$A$1:$B$11,2,FALSE)</f>
      </c>
      <c r="J115" s="8">
        <f>VLOOKUP(H115,outcomes!$A$1:$B$4,2,FALSE)</f>
      </c>
      <c r="K115" s="6">
        <f>G115-F115</f>
      </c>
      <c r="L115" s="7" t="s">
        <v>33</v>
      </c>
      <c r="M115" s="6">
        <v>16548</v>
      </c>
      <c r="N115" s="7" t="s">
        <v>39</v>
      </c>
    </row>
    <row x14ac:dyDescent="0.25" r="116" customHeight="1" ht="18.75">
      <c r="A116" s="6">
        <v>115</v>
      </c>
      <c r="B116" s="7" t="s">
        <v>341</v>
      </c>
      <c r="C116" s="6">
        <v>49</v>
      </c>
      <c r="D116" s="7" t="s">
        <v>47</v>
      </c>
      <c r="E116" s="6">
        <v>3</v>
      </c>
      <c r="F116" s="7" t="s">
        <v>69</v>
      </c>
      <c r="G116" s="7" t="s">
        <v>342</v>
      </c>
      <c r="H116" s="6">
        <v>2</v>
      </c>
      <c r="I116" s="8">
        <f>VLOOKUP(E116,diagnosis!$A$1:$B$11,2,FALSE)</f>
      </c>
      <c r="J116" s="8">
        <f>VLOOKUP(H116,outcomes!$A$1:$B$4,2,FALSE)</f>
      </c>
      <c r="K116" s="6">
        <f>G116-F116</f>
      </c>
      <c r="L116" s="7" t="s">
        <v>33</v>
      </c>
      <c r="M116" s="6">
        <v>69024</v>
      </c>
      <c r="N116" s="7" t="s">
        <v>39</v>
      </c>
    </row>
    <row x14ac:dyDescent="0.25" r="117" customHeight="1" ht="18.75">
      <c r="A117" s="6">
        <v>116</v>
      </c>
      <c r="B117" s="7" t="s">
        <v>343</v>
      </c>
      <c r="C117" s="6">
        <v>57</v>
      </c>
      <c r="D117" s="7" t="s">
        <v>30</v>
      </c>
      <c r="E117" s="6">
        <v>9</v>
      </c>
      <c r="F117" s="7" t="s">
        <v>344</v>
      </c>
      <c r="G117" s="7" t="s">
        <v>345</v>
      </c>
      <c r="H117" s="6">
        <v>2</v>
      </c>
      <c r="I117" s="8">
        <f>VLOOKUP(E117,diagnosis!$A$1:$B$11,2,FALSE)</f>
      </c>
      <c r="J117" s="8">
        <f>VLOOKUP(H117,outcomes!$A$1:$B$4,2,FALSE)</f>
      </c>
      <c r="K117" s="6">
        <f>G117-F117</f>
      </c>
      <c r="L117" s="7" t="s">
        <v>60</v>
      </c>
      <c r="M117" s="6">
        <v>14432</v>
      </c>
      <c r="N117" s="7" t="s">
        <v>50</v>
      </c>
    </row>
    <row x14ac:dyDescent="0.25" r="118" customHeight="1" ht="18.75">
      <c r="A118" s="6">
        <v>117</v>
      </c>
      <c r="B118" s="7" t="s">
        <v>251</v>
      </c>
      <c r="C118" s="6">
        <v>61</v>
      </c>
      <c r="D118" s="7" t="s">
        <v>47</v>
      </c>
      <c r="E118" s="6">
        <v>6</v>
      </c>
      <c r="F118" s="7" t="s">
        <v>346</v>
      </c>
      <c r="G118" s="7" t="s">
        <v>347</v>
      </c>
      <c r="H118" s="6">
        <v>3</v>
      </c>
      <c r="I118" s="8">
        <f>VLOOKUP(E118,diagnosis!$A$1:$B$11,2,FALSE)</f>
      </c>
      <c r="J118" s="8">
        <f>VLOOKUP(H118,outcomes!$A$1:$B$4,2,FALSE)</f>
      </c>
      <c r="K118" s="6">
        <f>G118-F118</f>
      </c>
      <c r="L118" s="7" t="s">
        <v>33</v>
      </c>
      <c r="M118" s="6">
        <v>13113</v>
      </c>
      <c r="N118" s="7" t="s">
        <v>34</v>
      </c>
    </row>
    <row x14ac:dyDescent="0.25" r="119" customHeight="1" ht="18.75">
      <c r="A119" s="6">
        <v>118</v>
      </c>
      <c r="B119" s="7" t="s">
        <v>348</v>
      </c>
      <c r="C119" s="6">
        <v>49</v>
      </c>
      <c r="D119" s="7" t="s">
        <v>47</v>
      </c>
      <c r="E119" s="6">
        <v>8</v>
      </c>
      <c r="F119" s="7" t="s">
        <v>349</v>
      </c>
      <c r="G119" s="7" t="s">
        <v>350</v>
      </c>
      <c r="H119" s="6">
        <v>3</v>
      </c>
      <c r="I119" s="8">
        <f>VLOOKUP(E119,diagnosis!$A$1:$B$11,2,FALSE)</f>
      </c>
      <c r="J119" s="8">
        <f>VLOOKUP(H119,outcomes!$A$1:$B$4,2,FALSE)</f>
      </c>
      <c r="K119" s="6">
        <f>G119-F119</f>
      </c>
      <c r="L119" s="7" t="s">
        <v>33</v>
      </c>
      <c r="M119" s="6">
        <v>89712</v>
      </c>
      <c r="N119" s="7" t="s">
        <v>34</v>
      </c>
    </row>
    <row x14ac:dyDescent="0.25" r="120" customHeight="1" ht="18.75">
      <c r="A120" s="6">
        <v>119</v>
      </c>
      <c r="B120" s="7" t="s">
        <v>351</v>
      </c>
      <c r="C120" s="6">
        <v>30</v>
      </c>
      <c r="D120" s="7" t="s">
        <v>30</v>
      </c>
      <c r="E120" s="6">
        <v>7</v>
      </c>
      <c r="F120" s="7" t="s">
        <v>209</v>
      </c>
      <c r="G120" s="7" t="s">
        <v>352</v>
      </c>
      <c r="H120" s="6">
        <v>1</v>
      </c>
      <c r="I120" s="8">
        <f>VLOOKUP(E120,diagnosis!$A$1:$B$11,2,FALSE)</f>
      </c>
      <c r="J120" s="8">
        <f>VLOOKUP(H120,outcomes!$A$1:$B$4,2,FALSE)</f>
      </c>
      <c r="K120" s="6">
        <f>G120-F120</f>
      </c>
      <c r="L120" s="7" t="s">
        <v>33</v>
      </c>
      <c r="M120" s="6">
        <v>48480</v>
      </c>
      <c r="N120" s="7" t="s">
        <v>39</v>
      </c>
    </row>
    <row x14ac:dyDescent="0.25" r="121" customHeight="1" ht="18.75">
      <c r="A121" s="6">
        <v>120</v>
      </c>
      <c r="B121" s="7" t="s">
        <v>353</v>
      </c>
      <c r="C121" s="6">
        <v>4</v>
      </c>
      <c r="D121" s="7" t="s">
        <v>30</v>
      </c>
      <c r="E121" s="6">
        <v>6</v>
      </c>
      <c r="F121" s="7" t="s">
        <v>354</v>
      </c>
      <c r="G121" s="7" t="s">
        <v>62</v>
      </c>
      <c r="H121" s="6">
        <v>1</v>
      </c>
      <c r="I121" s="8">
        <f>VLOOKUP(E121,diagnosis!$A$1:$B$11,2,FALSE)</f>
      </c>
      <c r="J121" s="8">
        <f>VLOOKUP(H121,outcomes!$A$1:$B$4,2,FALSE)</f>
      </c>
      <c r="K121" s="6">
        <f>G121-F121</f>
      </c>
      <c r="L121" s="7" t="s">
        <v>33</v>
      </c>
      <c r="M121" s="6">
        <v>22160</v>
      </c>
      <c r="N121" s="7" t="s">
        <v>50</v>
      </c>
    </row>
    <row x14ac:dyDescent="0.25" r="122" customHeight="1" ht="18.75">
      <c r="A122" s="6">
        <v>121</v>
      </c>
      <c r="B122" s="7" t="s">
        <v>355</v>
      </c>
      <c r="C122" s="6">
        <v>32</v>
      </c>
      <c r="D122" s="7" t="s">
        <v>47</v>
      </c>
      <c r="E122" s="6">
        <v>10</v>
      </c>
      <c r="F122" s="7" t="s">
        <v>356</v>
      </c>
      <c r="G122" s="7" t="s">
        <v>357</v>
      </c>
      <c r="H122" s="6">
        <v>3</v>
      </c>
      <c r="I122" s="8">
        <f>VLOOKUP(E122,diagnosis!$A$1:$B$11,2,FALSE)</f>
      </c>
      <c r="J122" s="8">
        <f>VLOOKUP(H122,outcomes!$A$1:$B$4,2,FALSE)</f>
      </c>
      <c r="K122" s="6">
        <f>G122-F122</f>
      </c>
      <c r="L122" s="7" t="s">
        <v>33</v>
      </c>
      <c r="M122" s="6">
        <v>22690</v>
      </c>
      <c r="N122" s="7" t="s">
        <v>39</v>
      </c>
    </row>
    <row x14ac:dyDescent="0.25" r="123" customHeight="1" ht="18.75">
      <c r="A123" s="6">
        <v>122</v>
      </c>
      <c r="B123" s="7" t="s">
        <v>358</v>
      </c>
      <c r="C123" s="6">
        <v>49</v>
      </c>
      <c r="D123" s="7" t="s">
        <v>30</v>
      </c>
      <c r="E123" s="6">
        <v>8</v>
      </c>
      <c r="F123" s="7" t="s">
        <v>90</v>
      </c>
      <c r="G123" s="7" t="s">
        <v>359</v>
      </c>
      <c r="H123" s="6">
        <v>3</v>
      </c>
      <c r="I123" s="8">
        <f>VLOOKUP(E123,diagnosis!$A$1:$B$11,2,FALSE)</f>
      </c>
      <c r="J123" s="8">
        <f>VLOOKUP(H123,outcomes!$A$1:$B$4,2,FALSE)</f>
      </c>
      <c r="K123" s="6">
        <f>G123-F123</f>
      </c>
      <c r="L123" s="7" t="s">
        <v>33</v>
      </c>
      <c r="M123" s="6">
        <v>68280</v>
      </c>
      <c r="N123" s="7" t="s">
        <v>50</v>
      </c>
    </row>
    <row x14ac:dyDescent="0.25" r="124" customHeight="1" ht="18.75">
      <c r="A124" s="6">
        <v>123</v>
      </c>
      <c r="B124" s="7" t="s">
        <v>360</v>
      </c>
      <c r="C124" s="6">
        <v>33</v>
      </c>
      <c r="D124" s="7" t="s">
        <v>30</v>
      </c>
      <c r="E124" s="6">
        <v>8</v>
      </c>
      <c r="F124" s="7" t="s">
        <v>361</v>
      </c>
      <c r="G124" s="7" t="s">
        <v>362</v>
      </c>
      <c r="H124" s="6">
        <v>2</v>
      </c>
      <c r="I124" s="8">
        <f>VLOOKUP(E124,diagnosis!$A$1:$B$11,2,FALSE)</f>
      </c>
      <c r="J124" s="8">
        <f>VLOOKUP(H124,outcomes!$A$1:$B$4,2,FALSE)</f>
      </c>
      <c r="K124" s="6">
        <f>G124-F124</f>
      </c>
      <c r="L124" s="7" t="s">
        <v>33</v>
      </c>
      <c r="M124" s="6">
        <v>44685</v>
      </c>
      <c r="N124" s="7" t="s">
        <v>34</v>
      </c>
    </row>
    <row x14ac:dyDescent="0.25" r="125" customHeight="1" ht="18.75">
      <c r="A125" s="6">
        <v>124</v>
      </c>
      <c r="B125" s="7" t="s">
        <v>363</v>
      </c>
      <c r="C125" s="6">
        <v>45</v>
      </c>
      <c r="D125" s="7" t="s">
        <v>47</v>
      </c>
      <c r="E125" s="6">
        <v>7</v>
      </c>
      <c r="F125" s="7" t="s">
        <v>285</v>
      </c>
      <c r="G125" s="7" t="s">
        <v>364</v>
      </c>
      <c r="H125" s="6">
        <v>3</v>
      </c>
      <c r="I125" s="8">
        <f>VLOOKUP(E125,diagnosis!$A$1:$B$11,2,FALSE)</f>
      </c>
      <c r="J125" s="8">
        <f>VLOOKUP(H125,outcomes!$A$1:$B$4,2,FALSE)</f>
      </c>
      <c r="K125" s="6">
        <f>G125-F125</f>
      </c>
      <c r="L125" s="7" t="s">
        <v>33</v>
      </c>
      <c r="M125" s="6">
        <v>44310</v>
      </c>
      <c r="N125" s="7" t="s">
        <v>50</v>
      </c>
    </row>
    <row x14ac:dyDescent="0.25" r="126" customHeight="1" ht="18.75">
      <c r="A126" s="6">
        <v>125</v>
      </c>
      <c r="B126" s="7" t="s">
        <v>365</v>
      </c>
      <c r="C126" s="6">
        <v>62</v>
      </c>
      <c r="D126" s="7" t="s">
        <v>30</v>
      </c>
      <c r="E126" s="6">
        <v>4</v>
      </c>
      <c r="F126" s="7" t="s">
        <v>41</v>
      </c>
      <c r="G126" s="7" t="s">
        <v>366</v>
      </c>
      <c r="H126" s="6">
        <v>2</v>
      </c>
      <c r="I126" s="8">
        <f>VLOOKUP(E126,diagnosis!$A$1:$B$11,2,FALSE)</f>
      </c>
      <c r="J126" s="8">
        <f>VLOOKUP(H126,outcomes!$A$1:$B$4,2,FALSE)</f>
      </c>
      <c r="K126" s="6">
        <f>G126-F126</f>
      </c>
      <c r="L126" s="7" t="s">
        <v>33</v>
      </c>
      <c r="M126" s="6">
        <v>51038</v>
      </c>
      <c r="N126" s="7" t="s">
        <v>34</v>
      </c>
    </row>
    <row x14ac:dyDescent="0.25" r="127" customHeight="1" ht="18.75">
      <c r="A127" s="6">
        <v>126</v>
      </c>
      <c r="B127" s="7" t="s">
        <v>367</v>
      </c>
      <c r="C127" s="6">
        <v>3</v>
      </c>
      <c r="D127" s="7" t="s">
        <v>47</v>
      </c>
      <c r="E127" s="6">
        <v>5</v>
      </c>
      <c r="F127" s="7" t="s">
        <v>368</v>
      </c>
      <c r="G127" s="7" t="s">
        <v>369</v>
      </c>
      <c r="H127" s="6">
        <v>1</v>
      </c>
      <c r="I127" s="8">
        <f>VLOOKUP(E127,diagnosis!$A$1:$B$11,2,FALSE)</f>
      </c>
      <c r="J127" s="8">
        <f>VLOOKUP(H127,outcomes!$A$1:$B$4,2,FALSE)</f>
      </c>
      <c r="K127" s="6">
        <f>G127-F127</f>
      </c>
      <c r="L127" s="7" t="s">
        <v>33</v>
      </c>
      <c r="M127" s="6">
        <v>27950</v>
      </c>
      <c r="N127" s="7" t="s">
        <v>50</v>
      </c>
    </row>
    <row x14ac:dyDescent="0.25" r="128" customHeight="1" ht="18.75">
      <c r="A128" s="6">
        <v>127</v>
      </c>
      <c r="B128" s="7" t="s">
        <v>370</v>
      </c>
      <c r="C128" s="6">
        <v>30</v>
      </c>
      <c r="D128" s="7" t="s">
        <v>47</v>
      </c>
      <c r="E128" s="6">
        <v>4</v>
      </c>
      <c r="F128" s="7" t="s">
        <v>371</v>
      </c>
      <c r="G128" s="7" t="s">
        <v>372</v>
      </c>
      <c r="H128" s="6">
        <v>3</v>
      </c>
      <c r="I128" s="8">
        <f>VLOOKUP(E128,diagnosis!$A$1:$B$11,2,FALSE)</f>
      </c>
      <c r="J128" s="8">
        <f>VLOOKUP(H128,outcomes!$A$1:$B$4,2,FALSE)</f>
      </c>
      <c r="K128" s="6">
        <f>G128-F128</f>
      </c>
      <c r="L128" s="7" t="s">
        <v>33</v>
      </c>
      <c r="M128" s="6">
        <v>31810</v>
      </c>
      <c r="N128" s="7" t="s">
        <v>39</v>
      </c>
    </row>
    <row x14ac:dyDescent="0.25" r="129" customHeight="1" ht="18.75">
      <c r="A129" s="6">
        <v>128</v>
      </c>
      <c r="B129" s="7" t="s">
        <v>309</v>
      </c>
      <c r="C129" s="6">
        <v>81</v>
      </c>
      <c r="D129" s="7" t="s">
        <v>30</v>
      </c>
      <c r="E129" s="6">
        <v>5</v>
      </c>
      <c r="F129" s="7" t="s">
        <v>373</v>
      </c>
      <c r="G129" s="7" t="s">
        <v>374</v>
      </c>
      <c r="H129" s="6">
        <v>2</v>
      </c>
      <c r="I129" s="8">
        <f>VLOOKUP(E129,diagnosis!$A$1:$B$11,2,FALSE)</f>
      </c>
      <c r="J129" s="8">
        <f>VLOOKUP(H129,outcomes!$A$1:$B$4,2,FALSE)</f>
      </c>
      <c r="K129" s="6">
        <f>G129-F129</f>
      </c>
      <c r="L129" s="7" t="s">
        <v>33</v>
      </c>
      <c r="M129" s="6">
        <v>11256</v>
      </c>
      <c r="N129" s="7" t="s">
        <v>39</v>
      </c>
    </row>
    <row x14ac:dyDescent="0.25" r="130" customHeight="1" ht="18.75">
      <c r="A130" s="6">
        <v>129</v>
      </c>
      <c r="B130" s="7" t="s">
        <v>375</v>
      </c>
      <c r="C130" s="6">
        <v>38</v>
      </c>
      <c r="D130" s="7" t="s">
        <v>47</v>
      </c>
      <c r="E130" s="6">
        <v>7</v>
      </c>
      <c r="F130" s="7" t="s">
        <v>376</v>
      </c>
      <c r="G130" s="7" t="s">
        <v>377</v>
      </c>
      <c r="H130" s="6">
        <v>1</v>
      </c>
      <c r="I130" s="8">
        <f>VLOOKUP(E130,diagnosis!$A$1:$B$11,2,FALSE)</f>
      </c>
      <c r="J130" s="8">
        <f>VLOOKUP(H130,outcomes!$A$1:$B$4,2,FALSE)</f>
      </c>
      <c r="K130" s="6">
        <f>G130-F130</f>
      </c>
      <c r="L130" s="7" t="s">
        <v>33</v>
      </c>
      <c r="M130" s="6">
        <v>8568</v>
      </c>
      <c r="N130" s="7" t="s">
        <v>50</v>
      </c>
    </row>
    <row x14ac:dyDescent="0.25" r="131" customHeight="1" ht="18.75">
      <c r="A131" s="6">
        <v>130</v>
      </c>
      <c r="B131" s="7" t="s">
        <v>378</v>
      </c>
      <c r="C131" s="6">
        <v>65</v>
      </c>
      <c r="D131" s="7" t="s">
        <v>47</v>
      </c>
      <c r="E131" s="6">
        <v>3</v>
      </c>
      <c r="F131" s="7" t="s">
        <v>379</v>
      </c>
      <c r="G131" s="7" t="s">
        <v>380</v>
      </c>
      <c r="H131" s="6">
        <v>2</v>
      </c>
      <c r="I131" s="8">
        <f>VLOOKUP(E131,diagnosis!$A$1:$B$11,2,FALSE)</f>
      </c>
      <c r="J131" s="8">
        <f>VLOOKUP(H131,outcomes!$A$1:$B$4,2,FALSE)</f>
      </c>
      <c r="K131" s="6">
        <f>G131-F131</f>
      </c>
      <c r="L131" s="7" t="s">
        <v>33</v>
      </c>
      <c r="M131" s="6">
        <v>52071</v>
      </c>
      <c r="N131" s="7" t="s">
        <v>50</v>
      </c>
    </row>
    <row x14ac:dyDescent="0.25" r="132" customHeight="1" ht="18.75">
      <c r="A132" s="6">
        <v>131</v>
      </c>
      <c r="B132" s="7" t="s">
        <v>381</v>
      </c>
      <c r="C132" s="6">
        <v>10</v>
      </c>
      <c r="D132" s="7" t="s">
        <v>30</v>
      </c>
      <c r="E132" s="6">
        <v>4</v>
      </c>
      <c r="F132" s="7" t="s">
        <v>382</v>
      </c>
      <c r="G132" s="7" t="s">
        <v>383</v>
      </c>
      <c r="H132" s="6">
        <v>3</v>
      </c>
      <c r="I132" s="8">
        <f>VLOOKUP(E132,diagnosis!$A$1:$B$11,2,FALSE)</f>
      </c>
      <c r="J132" s="8">
        <f>VLOOKUP(H132,outcomes!$A$1:$B$4,2,FALSE)</f>
      </c>
      <c r="K132" s="6">
        <f>G132-F132</f>
      </c>
      <c r="L132" s="7" t="s">
        <v>33</v>
      </c>
      <c r="M132" s="6">
        <v>52185</v>
      </c>
      <c r="N132" s="7" t="s">
        <v>39</v>
      </c>
    </row>
    <row x14ac:dyDescent="0.25" r="133" customHeight="1" ht="18.75">
      <c r="A133" s="6">
        <v>132</v>
      </c>
      <c r="B133" s="7" t="s">
        <v>384</v>
      </c>
      <c r="C133" s="6">
        <v>51</v>
      </c>
      <c r="D133" s="7" t="s">
        <v>30</v>
      </c>
      <c r="E133" s="6">
        <v>5</v>
      </c>
      <c r="F133" s="7" t="s">
        <v>379</v>
      </c>
      <c r="G133" s="7" t="s">
        <v>385</v>
      </c>
      <c r="H133" s="6">
        <v>3</v>
      </c>
      <c r="I133" s="8">
        <f>VLOOKUP(E133,diagnosis!$A$1:$B$11,2,FALSE)</f>
      </c>
      <c r="J133" s="8">
        <f>VLOOKUP(H133,outcomes!$A$1:$B$4,2,FALSE)</f>
      </c>
      <c r="K133" s="6">
        <f>G133-F133</f>
      </c>
      <c r="L133" s="7" t="s">
        <v>60</v>
      </c>
      <c r="M133" s="6">
        <v>8670</v>
      </c>
      <c r="N133" s="7" t="s">
        <v>34</v>
      </c>
    </row>
    <row x14ac:dyDescent="0.25" r="134" customHeight="1" ht="18.75">
      <c r="A134" s="6">
        <v>133</v>
      </c>
      <c r="B134" s="7" t="s">
        <v>170</v>
      </c>
      <c r="C134" s="6">
        <v>49</v>
      </c>
      <c r="D134" s="7" t="s">
        <v>47</v>
      </c>
      <c r="E134" s="6">
        <v>2</v>
      </c>
      <c r="F134" s="7" t="s">
        <v>386</v>
      </c>
      <c r="G134" s="7" t="s">
        <v>387</v>
      </c>
      <c r="H134" s="6">
        <v>3</v>
      </c>
      <c r="I134" s="8">
        <f>VLOOKUP(E134,diagnosis!$A$1:$B$11,2,FALSE)</f>
      </c>
      <c r="J134" s="8">
        <f>VLOOKUP(H134,outcomes!$A$1:$B$4,2,FALSE)</f>
      </c>
      <c r="K134" s="6">
        <f>G134-F134</f>
      </c>
      <c r="L134" s="7" t="s">
        <v>33</v>
      </c>
      <c r="M134" s="6">
        <v>50179</v>
      </c>
      <c r="N134" s="7" t="s">
        <v>50</v>
      </c>
    </row>
    <row x14ac:dyDescent="0.25" r="135" customHeight="1" ht="18.75">
      <c r="A135" s="6">
        <v>134</v>
      </c>
      <c r="B135" s="7" t="s">
        <v>388</v>
      </c>
      <c r="C135" s="6">
        <v>29</v>
      </c>
      <c r="D135" s="7" t="s">
        <v>30</v>
      </c>
      <c r="E135" s="6">
        <v>8</v>
      </c>
      <c r="F135" s="7" t="s">
        <v>389</v>
      </c>
      <c r="G135" s="7" t="s">
        <v>390</v>
      </c>
      <c r="H135" s="6">
        <v>3</v>
      </c>
      <c r="I135" s="8">
        <f>VLOOKUP(E135,diagnosis!$A$1:$B$11,2,FALSE)</f>
      </c>
      <c r="J135" s="8">
        <f>VLOOKUP(H135,outcomes!$A$1:$B$4,2,FALSE)</f>
      </c>
      <c r="K135" s="6">
        <f>G135-F135</f>
      </c>
      <c r="L135" s="7" t="s">
        <v>33</v>
      </c>
      <c r="M135" s="6">
        <v>68620</v>
      </c>
      <c r="N135" s="7" t="s">
        <v>50</v>
      </c>
    </row>
    <row x14ac:dyDescent="0.25" r="136" customHeight="1" ht="18.75">
      <c r="A136" s="6">
        <v>135</v>
      </c>
      <c r="B136" s="7" t="s">
        <v>391</v>
      </c>
      <c r="C136" s="6">
        <v>5</v>
      </c>
      <c r="D136" s="7" t="s">
        <v>47</v>
      </c>
      <c r="E136" s="6">
        <v>8</v>
      </c>
      <c r="F136" s="7" t="s">
        <v>392</v>
      </c>
      <c r="G136" s="7" t="s">
        <v>393</v>
      </c>
      <c r="H136" s="6">
        <v>1</v>
      </c>
      <c r="I136" s="8">
        <f>VLOOKUP(E136,diagnosis!$A$1:$B$11,2,FALSE)</f>
      </c>
      <c r="J136" s="8">
        <f>VLOOKUP(H136,outcomes!$A$1:$B$4,2,FALSE)</f>
      </c>
      <c r="K136" s="6">
        <f>G136-F136</f>
      </c>
      <c r="L136" s="7" t="s">
        <v>38</v>
      </c>
      <c r="M136" s="6">
        <v>9898</v>
      </c>
      <c r="N136" s="7" t="s">
        <v>39</v>
      </c>
    </row>
    <row x14ac:dyDescent="0.25" r="137" customHeight="1" ht="18.75">
      <c r="A137" s="6">
        <v>136</v>
      </c>
      <c r="B137" s="7" t="s">
        <v>394</v>
      </c>
      <c r="C137" s="6">
        <v>59</v>
      </c>
      <c r="D137" s="7" t="s">
        <v>47</v>
      </c>
      <c r="E137" s="6">
        <v>9</v>
      </c>
      <c r="F137" s="7" t="s">
        <v>395</v>
      </c>
      <c r="G137" s="7" t="s">
        <v>396</v>
      </c>
      <c r="H137" s="6">
        <v>2</v>
      </c>
      <c r="I137" s="8">
        <f>VLOOKUP(E137,diagnosis!$A$1:$B$11,2,FALSE)</f>
      </c>
      <c r="J137" s="8">
        <f>VLOOKUP(H137,outcomes!$A$1:$B$4,2,FALSE)</f>
      </c>
      <c r="K137" s="6">
        <f>G137-F137</f>
      </c>
      <c r="L137" s="7" t="s">
        <v>33</v>
      </c>
      <c r="M137" s="6">
        <v>47879</v>
      </c>
      <c r="N137" s="7" t="s">
        <v>39</v>
      </c>
    </row>
    <row x14ac:dyDescent="0.25" r="138" customHeight="1" ht="18.75">
      <c r="A138" s="6">
        <v>137</v>
      </c>
      <c r="B138" s="7" t="s">
        <v>251</v>
      </c>
      <c r="C138" s="6">
        <v>79</v>
      </c>
      <c r="D138" s="7" t="s">
        <v>47</v>
      </c>
      <c r="E138" s="6">
        <v>5</v>
      </c>
      <c r="F138" s="7" t="s">
        <v>117</v>
      </c>
      <c r="G138" s="7" t="s">
        <v>201</v>
      </c>
      <c r="H138" s="6">
        <v>1</v>
      </c>
      <c r="I138" s="8">
        <f>VLOOKUP(E138,diagnosis!$A$1:$B$11,2,FALSE)</f>
      </c>
      <c r="J138" s="8">
        <f>VLOOKUP(H138,outcomes!$A$1:$B$4,2,FALSE)</f>
      </c>
      <c r="K138" s="6">
        <f>G138-F138</f>
      </c>
      <c r="L138" s="7" t="s">
        <v>33</v>
      </c>
      <c r="M138" s="6">
        <v>50048</v>
      </c>
      <c r="N138" s="7" t="s">
        <v>39</v>
      </c>
    </row>
    <row x14ac:dyDescent="0.25" r="139" customHeight="1" ht="18.75">
      <c r="A139" s="6">
        <v>138</v>
      </c>
      <c r="B139" s="7" t="s">
        <v>161</v>
      </c>
      <c r="C139" s="6">
        <v>31</v>
      </c>
      <c r="D139" s="7" t="s">
        <v>47</v>
      </c>
      <c r="E139" s="6">
        <v>2</v>
      </c>
      <c r="F139" s="7" t="s">
        <v>397</v>
      </c>
      <c r="G139" s="7" t="s">
        <v>398</v>
      </c>
      <c r="H139" s="6">
        <v>3</v>
      </c>
      <c r="I139" s="8">
        <f>VLOOKUP(E139,diagnosis!$A$1:$B$11,2,FALSE)</f>
      </c>
      <c r="J139" s="8">
        <f>VLOOKUP(H139,outcomes!$A$1:$B$4,2,FALSE)</f>
      </c>
      <c r="K139" s="6">
        <f>G139-F139</f>
      </c>
      <c r="L139" s="7" t="s">
        <v>33</v>
      </c>
      <c r="M139" s="6">
        <v>43440</v>
      </c>
      <c r="N139" s="7" t="s">
        <v>39</v>
      </c>
    </row>
    <row x14ac:dyDescent="0.25" r="140" customHeight="1" ht="18.75">
      <c r="A140" s="6">
        <v>139</v>
      </c>
      <c r="B140" s="7" t="s">
        <v>399</v>
      </c>
      <c r="C140" s="6">
        <v>36</v>
      </c>
      <c r="D140" s="7" t="s">
        <v>30</v>
      </c>
      <c r="E140" s="6">
        <v>2</v>
      </c>
      <c r="F140" s="7" t="s">
        <v>110</v>
      </c>
      <c r="G140" s="7" t="s">
        <v>111</v>
      </c>
      <c r="H140" s="6">
        <v>2</v>
      </c>
      <c r="I140" s="8">
        <f>VLOOKUP(E140,diagnosis!$A$1:$B$11,2,FALSE)</f>
      </c>
      <c r="J140" s="8">
        <f>VLOOKUP(H140,outcomes!$A$1:$B$4,2,FALSE)</f>
      </c>
      <c r="K140" s="6">
        <f>G140-F140</f>
      </c>
      <c r="L140" s="7" t="s">
        <v>33</v>
      </c>
      <c r="M140" s="6">
        <v>39416</v>
      </c>
      <c r="N140" s="7" t="s">
        <v>50</v>
      </c>
    </row>
    <row x14ac:dyDescent="0.25" r="141" customHeight="1" ht="18.75">
      <c r="A141" s="6">
        <v>140</v>
      </c>
      <c r="B141" s="7" t="s">
        <v>400</v>
      </c>
      <c r="C141" s="6">
        <v>43</v>
      </c>
      <c r="D141" s="7" t="s">
        <v>30</v>
      </c>
      <c r="E141" s="6">
        <v>3</v>
      </c>
      <c r="F141" s="7" t="s">
        <v>99</v>
      </c>
      <c r="G141" s="7" t="s">
        <v>401</v>
      </c>
      <c r="H141" s="6">
        <v>3</v>
      </c>
      <c r="I141" s="8">
        <f>VLOOKUP(E141,diagnosis!$A$1:$B$11,2,FALSE)</f>
      </c>
      <c r="J141" s="8">
        <f>VLOOKUP(H141,outcomes!$A$1:$B$4,2,FALSE)</f>
      </c>
      <c r="K141" s="6">
        <f>G141-F141</f>
      </c>
      <c r="L141" s="7" t="s">
        <v>60</v>
      </c>
      <c r="M141" s="6">
        <v>8036</v>
      </c>
      <c r="N141" s="7" t="s">
        <v>39</v>
      </c>
    </row>
    <row x14ac:dyDescent="0.25" r="142" customHeight="1" ht="18.75">
      <c r="A142" s="6">
        <v>141</v>
      </c>
      <c r="B142" s="7" t="s">
        <v>402</v>
      </c>
      <c r="C142" s="6">
        <v>28</v>
      </c>
      <c r="D142" s="7" t="s">
        <v>30</v>
      </c>
      <c r="E142" s="6">
        <v>6</v>
      </c>
      <c r="F142" s="7" t="s">
        <v>403</v>
      </c>
      <c r="G142" s="7" t="s">
        <v>404</v>
      </c>
      <c r="H142" s="6">
        <v>1</v>
      </c>
      <c r="I142" s="8">
        <f>VLOOKUP(E142,diagnosis!$A$1:$B$11,2,FALSE)</f>
      </c>
      <c r="J142" s="8">
        <f>VLOOKUP(H142,outcomes!$A$1:$B$4,2,FALSE)</f>
      </c>
      <c r="K142" s="6">
        <f>G142-F142</f>
      </c>
      <c r="L142" s="7" t="s">
        <v>33</v>
      </c>
      <c r="M142" s="6">
        <v>81225</v>
      </c>
      <c r="N142" s="7" t="s">
        <v>34</v>
      </c>
    </row>
    <row x14ac:dyDescent="0.25" r="143" customHeight="1" ht="18.75">
      <c r="A143" s="6">
        <v>142</v>
      </c>
      <c r="B143" s="7" t="s">
        <v>405</v>
      </c>
      <c r="C143" s="6">
        <v>70</v>
      </c>
      <c r="D143" s="7" t="s">
        <v>47</v>
      </c>
      <c r="E143" s="6">
        <v>3</v>
      </c>
      <c r="F143" s="7" t="s">
        <v>406</v>
      </c>
      <c r="G143" s="7" t="s">
        <v>114</v>
      </c>
      <c r="H143" s="6">
        <v>1</v>
      </c>
      <c r="I143" s="8">
        <f>VLOOKUP(E143,diagnosis!$A$1:$B$11,2,FALSE)</f>
      </c>
      <c r="J143" s="8">
        <f>VLOOKUP(H143,outcomes!$A$1:$B$4,2,FALSE)</f>
      </c>
      <c r="K143" s="6">
        <f>G143-F143</f>
      </c>
      <c r="L143" s="7" t="s">
        <v>33</v>
      </c>
      <c r="M143" s="6">
        <v>13580</v>
      </c>
      <c r="N143" s="7" t="s">
        <v>39</v>
      </c>
    </row>
    <row x14ac:dyDescent="0.25" r="144" customHeight="1" ht="18.75">
      <c r="A144" s="6">
        <v>143</v>
      </c>
      <c r="B144" s="7" t="s">
        <v>407</v>
      </c>
      <c r="C144" s="6">
        <v>31</v>
      </c>
      <c r="D144" s="7" t="s">
        <v>47</v>
      </c>
      <c r="E144" s="6">
        <v>1</v>
      </c>
      <c r="F144" s="7" t="s">
        <v>408</v>
      </c>
      <c r="G144" s="7" t="s">
        <v>409</v>
      </c>
      <c r="H144" s="6">
        <v>1</v>
      </c>
      <c r="I144" s="8">
        <f>VLOOKUP(E144,diagnosis!$A$1:$B$11,2,FALSE)</f>
      </c>
      <c r="J144" s="8">
        <f>VLOOKUP(H144,outcomes!$A$1:$B$4,2,FALSE)</f>
      </c>
      <c r="K144" s="6">
        <f>G144-F144</f>
      </c>
      <c r="L144" s="7" t="s">
        <v>33</v>
      </c>
      <c r="M144" s="6">
        <v>48492</v>
      </c>
      <c r="N144" s="7" t="s">
        <v>50</v>
      </c>
    </row>
    <row x14ac:dyDescent="0.25" r="145" customHeight="1" ht="18.75">
      <c r="A145" s="6">
        <v>144</v>
      </c>
      <c r="B145" s="7" t="s">
        <v>410</v>
      </c>
      <c r="C145" s="6">
        <v>15</v>
      </c>
      <c r="D145" s="7" t="s">
        <v>30</v>
      </c>
      <c r="E145" s="6">
        <v>8</v>
      </c>
      <c r="F145" s="7" t="s">
        <v>411</v>
      </c>
      <c r="G145" s="7" t="s">
        <v>412</v>
      </c>
      <c r="H145" s="6">
        <v>2</v>
      </c>
      <c r="I145" s="8">
        <f>VLOOKUP(E145,diagnosis!$A$1:$B$11,2,FALSE)</f>
      </c>
      <c r="J145" s="8">
        <f>VLOOKUP(H145,outcomes!$A$1:$B$4,2,FALSE)</f>
      </c>
      <c r="K145" s="6">
        <f>G145-F145</f>
      </c>
      <c r="L145" s="7" t="s">
        <v>33</v>
      </c>
      <c r="M145" s="6">
        <v>72913</v>
      </c>
      <c r="N145" s="7" t="s">
        <v>50</v>
      </c>
    </row>
    <row x14ac:dyDescent="0.25" r="146" customHeight="1" ht="18.75">
      <c r="A146" s="6">
        <v>145</v>
      </c>
      <c r="B146" s="7" t="s">
        <v>413</v>
      </c>
      <c r="C146" s="6">
        <v>65</v>
      </c>
      <c r="D146" s="7" t="s">
        <v>30</v>
      </c>
      <c r="E146" s="6">
        <v>10</v>
      </c>
      <c r="F146" s="7" t="s">
        <v>414</v>
      </c>
      <c r="G146" s="7" t="s">
        <v>415</v>
      </c>
      <c r="H146" s="6">
        <v>1</v>
      </c>
      <c r="I146" s="8">
        <f>VLOOKUP(E146,diagnosis!$A$1:$B$11,2,FALSE)</f>
      </c>
      <c r="J146" s="8">
        <f>VLOOKUP(H146,outcomes!$A$1:$B$4,2,FALSE)</f>
      </c>
      <c r="K146" s="6">
        <f>G146-F146</f>
      </c>
      <c r="L146" s="7" t="s">
        <v>33</v>
      </c>
      <c r="M146" s="6">
        <v>43305</v>
      </c>
      <c r="N146" s="7" t="s">
        <v>39</v>
      </c>
    </row>
    <row x14ac:dyDescent="0.25" r="147" customHeight="1" ht="18.75">
      <c r="A147" s="6">
        <v>146</v>
      </c>
      <c r="B147" s="7" t="s">
        <v>416</v>
      </c>
      <c r="C147" s="6">
        <v>8</v>
      </c>
      <c r="D147" s="7" t="s">
        <v>47</v>
      </c>
      <c r="E147" s="6">
        <v>7</v>
      </c>
      <c r="F147" s="7" t="s">
        <v>270</v>
      </c>
      <c r="G147" s="7" t="s">
        <v>417</v>
      </c>
      <c r="H147" s="6">
        <v>2</v>
      </c>
      <c r="I147" s="8">
        <f>VLOOKUP(E147,diagnosis!$A$1:$B$11,2,FALSE)</f>
      </c>
      <c r="J147" s="8">
        <f>VLOOKUP(H147,outcomes!$A$1:$B$4,2,FALSE)</f>
      </c>
      <c r="K147" s="6">
        <f>G147-F147</f>
      </c>
      <c r="L147" s="7" t="s">
        <v>38</v>
      </c>
      <c r="M147" s="6">
        <v>2587</v>
      </c>
      <c r="N147" s="7" t="s">
        <v>39</v>
      </c>
    </row>
    <row x14ac:dyDescent="0.25" r="148" customHeight="1" ht="18.75">
      <c r="A148" s="6">
        <v>147</v>
      </c>
      <c r="B148" s="7" t="s">
        <v>418</v>
      </c>
      <c r="C148" s="6">
        <v>11</v>
      </c>
      <c r="D148" s="7" t="s">
        <v>47</v>
      </c>
      <c r="E148" s="6">
        <v>10</v>
      </c>
      <c r="F148" s="7" t="s">
        <v>397</v>
      </c>
      <c r="G148" s="7" t="s">
        <v>419</v>
      </c>
      <c r="H148" s="6">
        <v>1</v>
      </c>
      <c r="I148" s="8">
        <f>VLOOKUP(E148,diagnosis!$A$1:$B$11,2,FALSE)</f>
      </c>
      <c r="J148" s="8">
        <f>VLOOKUP(H148,outcomes!$A$1:$B$4,2,FALSE)</f>
      </c>
      <c r="K148" s="6">
        <f>G148-F148</f>
      </c>
      <c r="L148" s="7" t="s">
        <v>38</v>
      </c>
      <c r="M148" s="6">
        <v>13065</v>
      </c>
      <c r="N148" s="7" t="s">
        <v>50</v>
      </c>
    </row>
    <row x14ac:dyDescent="0.25" r="149" customHeight="1" ht="18.75">
      <c r="A149" s="6">
        <v>148</v>
      </c>
      <c r="B149" s="7" t="s">
        <v>70</v>
      </c>
      <c r="C149" s="6">
        <v>77</v>
      </c>
      <c r="D149" s="7" t="s">
        <v>47</v>
      </c>
      <c r="E149" s="6">
        <v>8</v>
      </c>
      <c r="F149" s="7" t="s">
        <v>420</v>
      </c>
      <c r="G149" s="7" t="s">
        <v>421</v>
      </c>
      <c r="H149" s="6">
        <v>3</v>
      </c>
      <c r="I149" s="8">
        <f>VLOOKUP(E149,diagnosis!$A$1:$B$11,2,FALSE)</f>
      </c>
      <c r="J149" s="8">
        <f>VLOOKUP(H149,outcomes!$A$1:$B$4,2,FALSE)</f>
      </c>
      <c r="K149" s="6">
        <f>G149-F149</f>
      </c>
      <c r="L149" s="7" t="s">
        <v>33</v>
      </c>
      <c r="M149" s="6">
        <v>54483</v>
      </c>
      <c r="N149" s="7" t="s">
        <v>50</v>
      </c>
    </row>
    <row x14ac:dyDescent="0.25" r="150" customHeight="1" ht="18.75">
      <c r="A150" s="6">
        <v>149</v>
      </c>
      <c r="B150" s="7" t="s">
        <v>391</v>
      </c>
      <c r="C150" s="6">
        <v>28</v>
      </c>
      <c r="D150" s="7" t="s">
        <v>47</v>
      </c>
      <c r="E150" s="6">
        <v>8</v>
      </c>
      <c r="F150" s="7" t="s">
        <v>241</v>
      </c>
      <c r="G150" s="7" t="s">
        <v>422</v>
      </c>
      <c r="H150" s="6">
        <v>1</v>
      </c>
      <c r="I150" s="8">
        <f>VLOOKUP(E150,diagnosis!$A$1:$B$11,2,FALSE)</f>
      </c>
      <c r="J150" s="8">
        <f>VLOOKUP(H150,outcomes!$A$1:$B$4,2,FALSE)</f>
      </c>
      <c r="K150" s="6">
        <f>G150-F150</f>
      </c>
      <c r="L150" s="7" t="s">
        <v>33</v>
      </c>
      <c r="M150" s="6">
        <v>38952</v>
      </c>
      <c r="N150" s="7" t="s">
        <v>50</v>
      </c>
    </row>
    <row x14ac:dyDescent="0.25" r="151" customHeight="1" ht="18.75">
      <c r="A151" s="6">
        <v>150</v>
      </c>
      <c r="B151" s="7" t="s">
        <v>190</v>
      </c>
      <c r="C151" s="6">
        <v>13</v>
      </c>
      <c r="D151" s="7" t="s">
        <v>47</v>
      </c>
      <c r="E151" s="6">
        <v>7</v>
      </c>
      <c r="F151" s="7" t="s">
        <v>423</v>
      </c>
      <c r="G151" s="7" t="s">
        <v>424</v>
      </c>
      <c r="H151" s="6">
        <v>2</v>
      </c>
      <c r="I151" s="8">
        <f>VLOOKUP(E151,diagnosis!$A$1:$B$11,2,FALSE)</f>
      </c>
      <c r="J151" s="8">
        <f>VLOOKUP(H151,outcomes!$A$1:$B$4,2,FALSE)</f>
      </c>
      <c r="K151" s="6">
        <f>G151-F151</f>
      </c>
      <c r="L151" s="7" t="s">
        <v>33</v>
      </c>
      <c r="M151" s="6">
        <v>66262</v>
      </c>
      <c r="N151" s="7" t="s">
        <v>50</v>
      </c>
    </row>
    <row x14ac:dyDescent="0.25" r="152" customHeight="1" ht="18.75">
      <c r="A152" s="6">
        <v>151</v>
      </c>
      <c r="B152" s="7" t="s">
        <v>425</v>
      </c>
      <c r="C152" s="6">
        <v>9</v>
      </c>
      <c r="D152" s="7" t="s">
        <v>30</v>
      </c>
      <c r="E152" s="6">
        <v>2</v>
      </c>
      <c r="F152" s="7" t="s">
        <v>426</v>
      </c>
      <c r="G152" s="7" t="s">
        <v>427</v>
      </c>
      <c r="H152" s="6">
        <v>1</v>
      </c>
      <c r="I152" s="8">
        <f>VLOOKUP(E152,diagnosis!$A$1:$B$11,2,FALSE)</f>
      </c>
      <c r="J152" s="8">
        <f>VLOOKUP(H152,outcomes!$A$1:$B$4,2,FALSE)</f>
      </c>
      <c r="K152" s="6">
        <f>G152-F152</f>
      </c>
      <c r="L152" s="7" t="s">
        <v>33</v>
      </c>
      <c r="M152" s="6">
        <v>45040</v>
      </c>
      <c r="N152" s="7" t="s">
        <v>34</v>
      </c>
    </row>
    <row x14ac:dyDescent="0.25" r="153" customHeight="1" ht="18.75">
      <c r="A153" s="6">
        <v>152</v>
      </c>
      <c r="B153" s="7" t="s">
        <v>428</v>
      </c>
      <c r="C153" s="6">
        <v>8</v>
      </c>
      <c r="D153" s="7" t="s">
        <v>47</v>
      </c>
      <c r="E153" s="6">
        <v>2</v>
      </c>
      <c r="F153" s="7" t="s">
        <v>429</v>
      </c>
      <c r="G153" s="7" t="s">
        <v>374</v>
      </c>
      <c r="H153" s="6">
        <v>2</v>
      </c>
      <c r="I153" s="8">
        <f>VLOOKUP(E153,diagnosis!$A$1:$B$11,2,FALSE)</f>
      </c>
      <c r="J153" s="8">
        <f>VLOOKUP(H153,outcomes!$A$1:$B$4,2,FALSE)</f>
      </c>
      <c r="K153" s="6">
        <f>G153-F153</f>
      </c>
      <c r="L153" s="7" t="s">
        <v>33</v>
      </c>
      <c r="M153" s="6">
        <v>79920</v>
      </c>
      <c r="N153" s="7" t="s">
        <v>34</v>
      </c>
    </row>
    <row x14ac:dyDescent="0.25" r="154" customHeight="1" ht="18.75">
      <c r="A154" s="6">
        <v>153</v>
      </c>
      <c r="B154" s="7" t="s">
        <v>341</v>
      </c>
      <c r="C154" s="6">
        <v>40</v>
      </c>
      <c r="D154" s="7" t="s">
        <v>47</v>
      </c>
      <c r="E154" s="6">
        <v>2</v>
      </c>
      <c r="F154" s="7" t="s">
        <v>143</v>
      </c>
      <c r="G154" s="7" t="s">
        <v>430</v>
      </c>
      <c r="H154" s="6">
        <v>3</v>
      </c>
      <c r="I154" s="8">
        <f>VLOOKUP(E154,diagnosis!$A$1:$B$11,2,FALSE)</f>
      </c>
      <c r="J154" s="8">
        <f>VLOOKUP(H154,outcomes!$A$1:$B$4,2,FALSE)</f>
      </c>
      <c r="K154" s="6">
        <f>G154-F154</f>
      </c>
      <c r="L154" s="7" t="s">
        <v>33</v>
      </c>
      <c r="M154" s="6">
        <v>78380</v>
      </c>
      <c r="N154" s="7" t="s">
        <v>34</v>
      </c>
    </row>
    <row x14ac:dyDescent="0.25" r="155" customHeight="1" ht="18.75">
      <c r="A155" s="6">
        <v>154</v>
      </c>
      <c r="B155" s="7" t="s">
        <v>431</v>
      </c>
      <c r="C155" s="6">
        <v>14</v>
      </c>
      <c r="D155" s="7" t="s">
        <v>47</v>
      </c>
      <c r="E155" s="6">
        <v>9</v>
      </c>
      <c r="F155" s="7" t="s">
        <v>432</v>
      </c>
      <c r="G155" s="7" t="s">
        <v>433</v>
      </c>
      <c r="H155" s="6">
        <v>2</v>
      </c>
      <c r="I155" s="8">
        <f>VLOOKUP(E155,diagnosis!$A$1:$B$11,2,FALSE)</f>
      </c>
      <c r="J155" s="8">
        <f>VLOOKUP(H155,outcomes!$A$1:$B$4,2,FALSE)</f>
      </c>
      <c r="K155" s="6">
        <f>G155-F155</f>
      </c>
      <c r="L155" s="7" t="s">
        <v>33</v>
      </c>
      <c r="M155" s="6">
        <v>31968</v>
      </c>
      <c r="N155" s="7" t="s">
        <v>34</v>
      </c>
    </row>
    <row x14ac:dyDescent="0.25" r="156" customHeight="1" ht="18.75">
      <c r="A156" s="6">
        <v>155</v>
      </c>
      <c r="B156" s="7" t="s">
        <v>434</v>
      </c>
      <c r="C156" s="6">
        <v>72</v>
      </c>
      <c r="D156" s="7" t="s">
        <v>30</v>
      </c>
      <c r="E156" s="6">
        <v>10</v>
      </c>
      <c r="F156" s="7" t="s">
        <v>435</v>
      </c>
      <c r="G156" s="7" t="s">
        <v>436</v>
      </c>
      <c r="H156" s="6">
        <v>3</v>
      </c>
      <c r="I156" s="8">
        <f>VLOOKUP(E156,diagnosis!$A$1:$B$11,2,FALSE)</f>
      </c>
      <c r="J156" s="8">
        <f>VLOOKUP(H156,outcomes!$A$1:$B$4,2,FALSE)</f>
      </c>
      <c r="K156" s="6">
        <f>G156-F156</f>
      </c>
      <c r="L156" s="7" t="s">
        <v>33</v>
      </c>
      <c r="M156" s="6">
        <v>54404</v>
      </c>
      <c r="N156" s="7" t="s">
        <v>50</v>
      </c>
    </row>
    <row x14ac:dyDescent="0.25" r="157" customHeight="1" ht="18.75">
      <c r="A157" s="6">
        <v>156</v>
      </c>
      <c r="B157" s="7" t="s">
        <v>437</v>
      </c>
      <c r="C157" s="6">
        <v>90</v>
      </c>
      <c r="D157" s="7" t="s">
        <v>47</v>
      </c>
      <c r="E157" s="6">
        <v>6</v>
      </c>
      <c r="F157" s="7" t="s">
        <v>438</v>
      </c>
      <c r="G157" s="7" t="s">
        <v>439</v>
      </c>
      <c r="H157" s="6">
        <v>2</v>
      </c>
      <c r="I157" s="8">
        <f>VLOOKUP(E157,diagnosis!$A$1:$B$11,2,FALSE)</f>
      </c>
      <c r="J157" s="8">
        <f>VLOOKUP(H157,outcomes!$A$1:$B$4,2,FALSE)</f>
      </c>
      <c r="K157" s="6">
        <f>G157-F157</f>
      </c>
      <c r="L157" s="7" t="s">
        <v>33</v>
      </c>
      <c r="M157" s="6">
        <v>29583</v>
      </c>
      <c r="N157" s="7" t="s">
        <v>50</v>
      </c>
    </row>
    <row x14ac:dyDescent="0.25" r="158" customHeight="1" ht="18.75">
      <c r="A158" s="6">
        <v>157</v>
      </c>
      <c r="B158" s="7" t="s">
        <v>440</v>
      </c>
      <c r="C158" s="6">
        <v>19</v>
      </c>
      <c r="D158" s="7" t="s">
        <v>30</v>
      </c>
      <c r="E158" s="6">
        <v>2</v>
      </c>
      <c r="F158" s="7" t="s">
        <v>441</v>
      </c>
      <c r="G158" s="7" t="s">
        <v>442</v>
      </c>
      <c r="H158" s="6">
        <v>3</v>
      </c>
      <c r="I158" s="8">
        <f>VLOOKUP(E158,diagnosis!$A$1:$B$11,2,FALSE)</f>
      </c>
      <c r="J158" s="8">
        <f>VLOOKUP(H158,outcomes!$A$1:$B$4,2,FALSE)</f>
      </c>
      <c r="K158" s="6">
        <f>G158-F158</f>
      </c>
      <c r="L158" s="7" t="s">
        <v>38</v>
      </c>
      <c r="M158" s="6">
        <v>12228</v>
      </c>
      <c r="N158" s="7" t="s">
        <v>34</v>
      </c>
    </row>
    <row x14ac:dyDescent="0.25" r="159" customHeight="1" ht="18.75">
      <c r="A159" s="6">
        <v>158</v>
      </c>
      <c r="B159" s="7" t="s">
        <v>443</v>
      </c>
      <c r="C159" s="6">
        <v>44</v>
      </c>
      <c r="D159" s="7" t="s">
        <v>30</v>
      </c>
      <c r="E159" s="6">
        <v>6</v>
      </c>
      <c r="F159" s="7" t="s">
        <v>318</v>
      </c>
      <c r="G159" s="7" t="s">
        <v>444</v>
      </c>
      <c r="H159" s="6">
        <v>2</v>
      </c>
      <c r="I159" s="8">
        <f>VLOOKUP(E159,diagnosis!$A$1:$B$11,2,FALSE)</f>
      </c>
      <c r="J159" s="8">
        <f>VLOOKUP(H159,outcomes!$A$1:$B$4,2,FALSE)</f>
      </c>
      <c r="K159" s="6">
        <f>G159-F159</f>
      </c>
      <c r="L159" s="7" t="s">
        <v>33</v>
      </c>
      <c r="M159" s="6">
        <v>73155</v>
      </c>
      <c r="N159" s="7" t="s">
        <v>34</v>
      </c>
    </row>
    <row x14ac:dyDescent="0.25" r="160" customHeight="1" ht="18.75">
      <c r="A160" s="6">
        <v>159</v>
      </c>
      <c r="B160" s="7" t="s">
        <v>445</v>
      </c>
      <c r="C160" s="6">
        <v>20</v>
      </c>
      <c r="D160" s="7" t="s">
        <v>30</v>
      </c>
      <c r="E160" s="6">
        <v>10</v>
      </c>
      <c r="F160" s="7" t="s">
        <v>446</v>
      </c>
      <c r="G160" s="7" t="s">
        <v>447</v>
      </c>
      <c r="H160" s="6">
        <v>1</v>
      </c>
      <c r="I160" s="8">
        <f>VLOOKUP(E160,diagnosis!$A$1:$B$11,2,FALSE)</f>
      </c>
      <c r="J160" s="8">
        <f>VLOOKUP(H160,outcomes!$A$1:$B$4,2,FALSE)</f>
      </c>
      <c r="K160" s="6">
        <f>G160-F160</f>
      </c>
      <c r="L160" s="7" t="s">
        <v>38</v>
      </c>
      <c r="M160" s="6">
        <v>7550</v>
      </c>
      <c r="N160" s="7" t="s">
        <v>34</v>
      </c>
    </row>
    <row x14ac:dyDescent="0.25" r="161" customHeight="1" ht="18.75">
      <c r="A161" s="6">
        <v>160</v>
      </c>
      <c r="B161" s="7" t="s">
        <v>448</v>
      </c>
      <c r="C161" s="6">
        <v>63</v>
      </c>
      <c r="D161" s="7" t="s">
        <v>47</v>
      </c>
      <c r="E161" s="6">
        <v>7</v>
      </c>
      <c r="F161" s="7" t="s">
        <v>449</v>
      </c>
      <c r="G161" s="7" t="s">
        <v>450</v>
      </c>
      <c r="H161" s="6">
        <v>2</v>
      </c>
      <c r="I161" s="8">
        <f>VLOOKUP(E161,diagnosis!$A$1:$B$11,2,FALSE)</f>
      </c>
      <c r="J161" s="8">
        <f>VLOOKUP(H161,outcomes!$A$1:$B$4,2,FALSE)</f>
      </c>
      <c r="K161" s="6">
        <f>G161-F161</f>
      </c>
      <c r="L161" s="7" t="s">
        <v>33</v>
      </c>
      <c r="M161" s="6">
        <v>38332</v>
      </c>
      <c r="N161" s="7" t="s">
        <v>39</v>
      </c>
    </row>
    <row x14ac:dyDescent="0.25" r="162" customHeight="1" ht="18.75">
      <c r="A162" s="6">
        <v>161</v>
      </c>
      <c r="B162" s="7" t="s">
        <v>451</v>
      </c>
      <c r="C162" s="6">
        <v>15</v>
      </c>
      <c r="D162" s="7" t="s">
        <v>47</v>
      </c>
      <c r="E162" s="6">
        <v>10</v>
      </c>
      <c r="F162" s="7" t="s">
        <v>452</v>
      </c>
      <c r="G162" s="7" t="s">
        <v>453</v>
      </c>
      <c r="H162" s="6">
        <v>2</v>
      </c>
      <c r="I162" s="8">
        <f>VLOOKUP(E162,diagnosis!$A$1:$B$11,2,FALSE)</f>
      </c>
      <c r="J162" s="8">
        <f>VLOOKUP(H162,outcomes!$A$1:$B$4,2,FALSE)</f>
      </c>
      <c r="K162" s="6">
        <f>G162-F162</f>
      </c>
      <c r="L162" s="7" t="s">
        <v>33</v>
      </c>
      <c r="M162" s="6">
        <v>32830</v>
      </c>
      <c r="N162" s="7" t="s">
        <v>39</v>
      </c>
    </row>
    <row x14ac:dyDescent="0.25" r="163" customHeight="1" ht="18.75">
      <c r="A163" s="6">
        <v>162</v>
      </c>
      <c r="B163" s="7" t="s">
        <v>454</v>
      </c>
      <c r="C163" s="6">
        <v>77</v>
      </c>
      <c r="D163" s="7" t="s">
        <v>30</v>
      </c>
      <c r="E163" s="6">
        <v>1</v>
      </c>
      <c r="F163" s="7" t="s">
        <v>220</v>
      </c>
      <c r="G163" s="7" t="s">
        <v>455</v>
      </c>
      <c r="H163" s="6">
        <v>1</v>
      </c>
      <c r="I163" s="8">
        <f>VLOOKUP(E163,diagnosis!$A$1:$B$11,2,FALSE)</f>
      </c>
      <c r="J163" s="8">
        <f>VLOOKUP(H163,outcomes!$A$1:$B$4,2,FALSE)</f>
      </c>
      <c r="K163" s="6">
        <f>G163-F163</f>
      </c>
      <c r="L163" s="7" t="s">
        <v>33</v>
      </c>
      <c r="M163" s="6">
        <v>36452</v>
      </c>
      <c r="N163" s="7" t="s">
        <v>34</v>
      </c>
    </row>
    <row x14ac:dyDescent="0.25" r="164" customHeight="1" ht="18.75">
      <c r="A164" s="6">
        <v>163</v>
      </c>
      <c r="B164" s="7" t="s">
        <v>431</v>
      </c>
      <c r="C164" s="6">
        <v>42</v>
      </c>
      <c r="D164" s="7" t="s">
        <v>30</v>
      </c>
      <c r="E164" s="6">
        <v>1</v>
      </c>
      <c r="F164" s="7" t="s">
        <v>456</v>
      </c>
      <c r="G164" s="7" t="s">
        <v>457</v>
      </c>
      <c r="H164" s="6">
        <v>2</v>
      </c>
      <c r="I164" s="8">
        <f>VLOOKUP(E164,diagnosis!$A$1:$B$11,2,FALSE)</f>
      </c>
      <c r="J164" s="8">
        <f>VLOOKUP(H164,outcomes!$A$1:$B$4,2,FALSE)</f>
      </c>
      <c r="K164" s="6">
        <f>G164-F164</f>
      </c>
      <c r="L164" s="7" t="s">
        <v>33</v>
      </c>
      <c r="M164" s="6">
        <v>21260</v>
      </c>
      <c r="N164" s="7" t="s">
        <v>34</v>
      </c>
    </row>
    <row x14ac:dyDescent="0.25" r="165" customHeight="1" ht="18.75">
      <c r="A165" s="6">
        <v>164</v>
      </c>
      <c r="B165" s="7" t="s">
        <v>81</v>
      </c>
      <c r="C165" s="6">
        <v>69</v>
      </c>
      <c r="D165" s="7" t="s">
        <v>30</v>
      </c>
      <c r="E165" s="6">
        <v>9</v>
      </c>
      <c r="F165" s="7" t="s">
        <v>131</v>
      </c>
      <c r="G165" s="7" t="s">
        <v>395</v>
      </c>
      <c r="H165" s="6">
        <v>3</v>
      </c>
      <c r="I165" s="8">
        <f>VLOOKUP(E165,diagnosis!$A$1:$B$11,2,FALSE)</f>
      </c>
      <c r="J165" s="8">
        <f>VLOOKUP(H165,outcomes!$A$1:$B$4,2,FALSE)</f>
      </c>
      <c r="K165" s="6">
        <f>G165-F165</f>
      </c>
      <c r="L165" s="7" t="s">
        <v>33</v>
      </c>
      <c r="M165" s="6">
        <v>57291</v>
      </c>
      <c r="N165" s="7" t="s">
        <v>34</v>
      </c>
    </row>
    <row x14ac:dyDescent="0.25" r="166" customHeight="1" ht="18.75">
      <c r="A166" s="6">
        <v>165</v>
      </c>
      <c r="B166" s="7" t="s">
        <v>458</v>
      </c>
      <c r="C166" s="6">
        <v>56</v>
      </c>
      <c r="D166" s="7" t="s">
        <v>30</v>
      </c>
      <c r="E166" s="6">
        <v>8</v>
      </c>
      <c r="F166" s="7" t="s">
        <v>459</v>
      </c>
      <c r="G166" s="7" t="s">
        <v>460</v>
      </c>
      <c r="H166" s="6">
        <v>1</v>
      </c>
      <c r="I166" s="8">
        <f>VLOOKUP(E166,diagnosis!$A$1:$B$11,2,FALSE)</f>
      </c>
      <c r="J166" s="8">
        <f>VLOOKUP(H166,outcomes!$A$1:$B$4,2,FALSE)</f>
      </c>
      <c r="K166" s="6">
        <f>G166-F166</f>
      </c>
      <c r="L166" s="7" t="s">
        <v>60</v>
      </c>
      <c r="M166" s="6">
        <v>4426</v>
      </c>
      <c r="N166" s="7" t="s">
        <v>34</v>
      </c>
    </row>
    <row x14ac:dyDescent="0.25" r="167" customHeight="1" ht="18.75">
      <c r="A167" s="6">
        <v>166</v>
      </c>
      <c r="B167" s="7" t="s">
        <v>461</v>
      </c>
      <c r="C167" s="6">
        <v>38</v>
      </c>
      <c r="D167" s="7" t="s">
        <v>30</v>
      </c>
      <c r="E167" s="6">
        <v>7</v>
      </c>
      <c r="F167" s="7" t="s">
        <v>223</v>
      </c>
      <c r="G167" s="7" t="s">
        <v>462</v>
      </c>
      <c r="H167" s="6">
        <v>1</v>
      </c>
      <c r="I167" s="8">
        <f>VLOOKUP(E167,diagnosis!$A$1:$B$11,2,FALSE)</f>
      </c>
      <c r="J167" s="8">
        <f>VLOOKUP(H167,outcomes!$A$1:$B$4,2,FALSE)</f>
      </c>
      <c r="K167" s="6">
        <f>G167-F167</f>
      </c>
      <c r="L167" s="7" t="s">
        <v>33</v>
      </c>
      <c r="M167" s="6">
        <v>29092</v>
      </c>
      <c r="N167" s="7" t="s">
        <v>34</v>
      </c>
    </row>
    <row x14ac:dyDescent="0.25" r="168" customHeight="1" ht="18.75">
      <c r="A168" s="6">
        <v>167</v>
      </c>
      <c r="B168" s="7" t="s">
        <v>463</v>
      </c>
      <c r="C168" s="6">
        <v>12</v>
      </c>
      <c r="D168" s="7" t="s">
        <v>47</v>
      </c>
      <c r="E168" s="6">
        <v>2</v>
      </c>
      <c r="F168" s="7" t="s">
        <v>464</v>
      </c>
      <c r="G168" s="7" t="s">
        <v>465</v>
      </c>
      <c r="H168" s="6">
        <v>1</v>
      </c>
      <c r="I168" s="8">
        <f>VLOOKUP(E168,diagnosis!$A$1:$B$11,2,FALSE)</f>
      </c>
      <c r="J168" s="8">
        <f>VLOOKUP(H168,outcomes!$A$1:$B$4,2,FALSE)</f>
      </c>
      <c r="K168" s="6">
        <f>G168-F168</f>
      </c>
      <c r="L168" s="7" t="s">
        <v>33</v>
      </c>
      <c r="M168" s="6">
        <v>26244</v>
      </c>
      <c r="N168" s="7" t="s">
        <v>34</v>
      </c>
    </row>
    <row x14ac:dyDescent="0.25" r="169" customHeight="1" ht="18.75">
      <c r="A169" s="6">
        <v>168</v>
      </c>
      <c r="B169" s="7" t="s">
        <v>243</v>
      </c>
      <c r="C169" s="6">
        <v>51</v>
      </c>
      <c r="D169" s="7" t="s">
        <v>47</v>
      </c>
      <c r="E169" s="6">
        <v>6</v>
      </c>
      <c r="F169" s="7" t="s">
        <v>466</v>
      </c>
      <c r="G169" s="7" t="s">
        <v>467</v>
      </c>
      <c r="H169" s="6">
        <v>1</v>
      </c>
      <c r="I169" s="8">
        <f>VLOOKUP(E169,diagnosis!$A$1:$B$11,2,FALSE)</f>
      </c>
      <c r="J169" s="8">
        <f>VLOOKUP(H169,outcomes!$A$1:$B$4,2,FALSE)</f>
      </c>
      <c r="K169" s="6">
        <f>G169-F169</f>
      </c>
      <c r="L169" s="7" t="s">
        <v>60</v>
      </c>
      <c r="M169" s="6">
        <v>9813</v>
      </c>
      <c r="N169" s="7" t="s">
        <v>50</v>
      </c>
    </row>
    <row x14ac:dyDescent="0.25" r="170" customHeight="1" ht="18.75">
      <c r="A170" s="6">
        <v>169</v>
      </c>
      <c r="B170" s="7" t="s">
        <v>193</v>
      </c>
      <c r="C170" s="6">
        <v>68</v>
      </c>
      <c r="D170" s="7" t="s">
        <v>30</v>
      </c>
      <c r="E170" s="6">
        <v>6</v>
      </c>
      <c r="F170" s="7" t="s">
        <v>468</v>
      </c>
      <c r="G170" s="7" t="s">
        <v>469</v>
      </c>
      <c r="H170" s="6">
        <v>2</v>
      </c>
      <c r="I170" s="8">
        <f>VLOOKUP(E170,diagnosis!$A$1:$B$11,2,FALSE)</f>
      </c>
      <c r="J170" s="8">
        <f>VLOOKUP(H170,outcomes!$A$1:$B$4,2,FALSE)</f>
      </c>
      <c r="K170" s="6">
        <f>G170-F170</f>
      </c>
      <c r="L170" s="7" t="s">
        <v>33</v>
      </c>
      <c r="M170" s="6">
        <v>16320</v>
      </c>
      <c r="N170" s="7" t="s">
        <v>34</v>
      </c>
    </row>
    <row x14ac:dyDescent="0.25" r="171" customHeight="1" ht="18.75">
      <c r="A171" s="6">
        <v>170</v>
      </c>
      <c r="B171" s="7" t="s">
        <v>211</v>
      </c>
      <c r="C171" s="6">
        <v>33</v>
      </c>
      <c r="D171" s="7" t="s">
        <v>30</v>
      </c>
      <c r="E171" s="6">
        <v>3</v>
      </c>
      <c r="F171" s="7" t="s">
        <v>49</v>
      </c>
      <c r="G171" s="7" t="s">
        <v>470</v>
      </c>
      <c r="H171" s="6">
        <v>3</v>
      </c>
      <c r="I171" s="8">
        <f>VLOOKUP(E171,diagnosis!$A$1:$B$11,2,FALSE)</f>
      </c>
      <c r="J171" s="8">
        <f>VLOOKUP(H171,outcomes!$A$1:$B$4,2,FALSE)</f>
      </c>
      <c r="K171" s="6">
        <f>G171-F171</f>
      </c>
      <c r="L171" s="7" t="s">
        <v>60</v>
      </c>
      <c r="M171" s="6">
        <v>15835</v>
      </c>
      <c r="N171" s="7" t="s">
        <v>39</v>
      </c>
    </row>
    <row x14ac:dyDescent="0.25" r="172" customHeight="1" ht="18.75">
      <c r="A172" s="6">
        <v>171</v>
      </c>
      <c r="B172" s="7" t="s">
        <v>294</v>
      </c>
      <c r="C172" s="6">
        <v>73</v>
      </c>
      <c r="D172" s="7" t="s">
        <v>47</v>
      </c>
      <c r="E172" s="6">
        <v>10</v>
      </c>
      <c r="F172" s="7" t="s">
        <v>471</v>
      </c>
      <c r="G172" s="7" t="s">
        <v>472</v>
      </c>
      <c r="H172" s="6">
        <v>3</v>
      </c>
      <c r="I172" s="8">
        <f>VLOOKUP(E172,diagnosis!$A$1:$B$11,2,FALSE)</f>
      </c>
      <c r="J172" s="8">
        <f>VLOOKUP(H172,outcomes!$A$1:$B$4,2,FALSE)</f>
      </c>
      <c r="K172" s="6">
        <f>G172-F172</f>
      </c>
      <c r="L172" s="7" t="s">
        <v>33</v>
      </c>
      <c r="M172" s="6">
        <v>45210</v>
      </c>
      <c r="N172" s="7" t="s">
        <v>39</v>
      </c>
    </row>
    <row x14ac:dyDescent="0.25" r="173" customHeight="1" ht="18.75">
      <c r="A173" s="6">
        <v>172</v>
      </c>
      <c r="B173" s="7" t="s">
        <v>86</v>
      </c>
      <c r="C173" s="6">
        <v>57</v>
      </c>
      <c r="D173" s="7" t="s">
        <v>30</v>
      </c>
      <c r="E173" s="6">
        <v>8</v>
      </c>
      <c r="F173" s="7" t="s">
        <v>473</v>
      </c>
      <c r="G173" s="7" t="s">
        <v>474</v>
      </c>
      <c r="H173" s="6">
        <v>2</v>
      </c>
      <c r="I173" s="8">
        <f>VLOOKUP(E173,diagnosis!$A$1:$B$11,2,FALSE)</f>
      </c>
      <c r="J173" s="8">
        <f>VLOOKUP(H173,outcomes!$A$1:$B$4,2,FALSE)</f>
      </c>
      <c r="K173" s="6">
        <f>G173-F173</f>
      </c>
      <c r="L173" s="7" t="s">
        <v>60</v>
      </c>
      <c r="M173" s="6">
        <v>22720</v>
      </c>
      <c r="N173" s="7" t="s">
        <v>34</v>
      </c>
    </row>
    <row x14ac:dyDescent="0.25" r="174" customHeight="1" ht="18.75">
      <c r="A174" s="6">
        <v>173</v>
      </c>
      <c r="B174" s="7" t="s">
        <v>475</v>
      </c>
      <c r="C174" s="6">
        <v>65</v>
      </c>
      <c r="D174" s="7" t="s">
        <v>30</v>
      </c>
      <c r="E174" s="6">
        <v>5</v>
      </c>
      <c r="F174" s="7" t="s">
        <v>476</v>
      </c>
      <c r="G174" s="7" t="s">
        <v>477</v>
      </c>
      <c r="H174" s="6">
        <v>2</v>
      </c>
      <c r="I174" s="8">
        <f>VLOOKUP(E174,diagnosis!$A$1:$B$11,2,FALSE)</f>
      </c>
      <c r="J174" s="8">
        <f>VLOOKUP(H174,outcomes!$A$1:$B$4,2,FALSE)</f>
      </c>
      <c r="K174" s="6">
        <f>G174-F174</f>
      </c>
      <c r="L174" s="7" t="s">
        <v>33</v>
      </c>
      <c r="M174" s="6">
        <v>43008</v>
      </c>
      <c r="N174" s="7" t="s">
        <v>34</v>
      </c>
    </row>
    <row x14ac:dyDescent="0.25" r="175" customHeight="1" ht="18.75">
      <c r="A175" s="6">
        <v>174</v>
      </c>
      <c r="B175" s="7" t="s">
        <v>478</v>
      </c>
      <c r="C175" s="6">
        <v>10</v>
      </c>
      <c r="D175" s="7" t="s">
        <v>30</v>
      </c>
      <c r="E175" s="6">
        <v>10</v>
      </c>
      <c r="F175" s="7" t="s">
        <v>267</v>
      </c>
      <c r="G175" s="7" t="s">
        <v>479</v>
      </c>
      <c r="H175" s="6">
        <v>3</v>
      </c>
      <c r="I175" s="8">
        <f>VLOOKUP(E175,diagnosis!$A$1:$B$11,2,FALSE)</f>
      </c>
      <c r="J175" s="8">
        <f>VLOOKUP(H175,outcomes!$A$1:$B$4,2,FALSE)</f>
      </c>
      <c r="K175" s="6">
        <f>G175-F175</f>
      </c>
      <c r="L175" s="7" t="s">
        <v>33</v>
      </c>
      <c r="M175" s="6">
        <v>31910</v>
      </c>
      <c r="N175" s="7" t="s">
        <v>50</v>
      </c>
    </row>
    <row x14ac:dyDescent="0.25" r="176" customHeight="1" ht="18.75">
      <c r="A176" s="6">
        <v>175</v>
      </c>
      <c r="B176" s="7" t="s">
        <v>339</v>
      </c>
      <c r="C176" s="6">
        <v>74</v>
      </c>
      <c r="D176" s="7" t="s">
        <v>30</v>
      </c>
      <c r="E176" s="6">
        <v>6</v>
      </c>
      <c r="F176" s="7" t="s">
        <v>247</v>
      </c>
      <c r="G176" s="7" t="s">
        <v>480</v>
      </c>
      <c r="H176" s="6">
        <v>3</v>
      </c>
      <c r="I176" s="8">
        <f>VLOOKUP(E176,diagnosis!$A$1:$B$11,2,FALSE)</f>
      </c>
      <c r="J176" s="8">
        <f>VLOOKUP(H176,outcomes!$A$1:$B$4,2,FALSE)</f>
      </c>
      <c r="K176" s="6">
        <f>G176-F176</f>
      </c>
      <c r="L176" s="7" t="s">
        <v>33</v>
      </c>
      <c r="M176" s="6">
        <v>37935</v>
      </c>
      <c r="N176" s="7" t="s">
        <v>39</v>
      </c>
    </row>
    <row x14ac:dyDescent="0.25" r="177" customHeight="1" ht="18.75">
      <c r="A177" s="6">
        <v>176</v>
      </c>
      <c r="B177" s="7" t="s">
        <v>481</v>
      </c>
      <c r="C177" s="6">
        <v>14</v>
      </c>
      <c r="D177" s="7" t="s">
        <v>47</v>
      </c>
      <c r="E177" s="6">
        <v>2</v>
      </c>
      <c r="F177" s="7" t="s">
        <v>482</v>
      </c>
      <c r="G177" s="7" t="s">
        <v>483</v>
      </c>
      <c r="H177" s="6">
        <v>3</v>
      </c>
      <c r="I177" s="8">
        <f>VLOOKUP(E177,diagnosis!$A$1:$B$11,2,FALSE)</f>
      </c>
      <c r="J177" s="8">
        <f>VLOOKUP(H177,outcomes!$A$1:$B$4,2,FALSE)</f>
      </c>
      <c r="K177" s="6">
        <f>G177-F177</f>
      </c>
      <c r="L177" s="7" t="s">
        <v>33</v>
      </c>
      <c r="M177" s="6">
        <v>54045</v>
      </c>
      <c r="N177" s="7" t="s">
        <v>34</v>
      </c>
    </row>
    <row x14ac:dyDescent="0.25" r="178" customHeight="1" ht="18.75">
      <c r="A178" s="6">
        <v>177</v>
      </c>
      <c r="B178" s="7" t="s">
        <v>484</v>
      </c>
      <c r="C178" s="6">
        <v>57</v>
      </c>
      <c r="D178" s="7" t="s">
        <v>30</v>
      </c>
      <c r="E178" s="6">
        <v>6</v>
      </c>
      <c r="F178" s="7" t="s">
        <v>485</v>
      </c>
      <c r="G178" s="7" t="s">
        <v>486</v>
      </c>
      <c r="H178" s="6">
        <v>2</v>
      </c>
      <c r="I178" s="8">
        <f>VLOOKUP(E178,diagnosis!$A$1:$B$11,2,FALSE)</f>
      </c>
      <c r="J178" s="8">
        <f>VLOOKUP(H178,outcomes!$A$1:$B$4,2,FALSE)</f>
      </c>
      <c r="K178" s="6">
        <f>G178-F178</f>
      </c>
      <c r="L178" s="7" t="s">
        <v>33</v>
      </c>
      <c r="M178" s="6">
        <v>70500</v>
      </c>
      <c r="N178" s="7" t="s">
        <v>50</v>
      </c>
    </row>
    <row x14ac:dyDescent="0.25" r="179" customHeight="1" ht="18.75">
      <c r="A179" s="6">
        <v>178</v>
      </c>
      <c r="B179" s="7" t="s">
        <v>487</v>
      </c>
      <c r="C179" s="6">
        <v>7</v>
      </c>
      <c r="D179" s="7" t="s">
        <v>47</v>
      </c>
      <c r="E179" s="6">
        <v>2</v>
      </c>
      <c r="F179" s="7" t="s">
        <v>488</v>
      </c>
      <c r="G179" s="7" t="s">
        <v>489</v>
      </c>
      <c r="H179" s="6">
        <v>2</v>
      </c>
      <c r="I179" s="8">
        <f>VLOOKUP(E179,diagnosis!$A$1:$B$11,2,FALSE)</f>
      </c>
      <c r="J179" s="8">
        <f>VLOOKUP(H179,outcomes!$A$1:$B$4,2,FALSE)</f>
      </c>
      <c r="K179" s="6">
        <f>G179-F179</f>
      </c>
      <c r="L179" s="7" t="s">
        <v>33</v>
      </c>
      <c r="M179" s="6">
        <v>89040</v>
      </c>
      <c r="N179" s="7" t="s">
        <v>39</v>
      </c>
    </row>
    <row x14ac:dyDescent="0.25" r="180" customHeight="1" ht="18.75">
      <c r="A180" s="6">
        <v>179</v>
      </c>
      <c r="B180" s="7" t="s">
        <v>490</v>
      </c>
      <c r="C180" s="6">
        <v>85</v>
      </c>
      <c r="D180" s="7" t="s">
        <v>30</v>
      </c>
      <c r="E180" s="6">
        <v>6</v>
      </c>
      <c r="F180" s="7" t="s">
        <v>194</v>
      </c>
      <c r="G180" s="7" t="s">
        <v>491</v>
      </c>
      <c r="H180" s="6">
        <v>1</v>
      </c>
      <c r="I180" s="8">
        <f>VLOOKUP(E180,diagnosis!$A$1:$B$11,2,FALSE)</f>
      </c>
      <c r="J180" s="8">
        <f>VLOOKUP(H180,outcomes!$A$1:$B$4,2,FALSE)</f>
      </c>
      <c r="K180" s="6">
        <f>G180-F180</f>
      </c>
      <c r="L180" s="7" t="s">
        <v>33</v>
      </c>
      <c r="M180" s="6">
        <v>26406</v>
      </c>
      <c r="N180" s="7" t="s">
        <v>39</v>
      </c>
    </row>
    <row x14ac:dyDescent="0.25" r="181" customHeight="1" ht="18.75">
      <c r="A181" s="6">
        <v>180</v>
      </c>
      <c r="B181" s="7" t="s">
        <v>492</v>
      </c>
      <c r="C181" s="6">
        <v>17</v>
      </c>
      <c r="D181" s="7" t="s">
        <v>30</v>
      </c>
      <c r="E181" s="6">
        <v>5</v>
      </c>
      <c r="F181" s="7" t="s">
        <v>493</v>
      </c>
      <c r="G181" s="7" t="s">
        <v>494</v>
      </c>
      <c r="H181" s="6">
        <v>3</v>
      </c>
      <c r="I181" s="8">
        <f>VLOOKUP(E181,diagnosis!$A$1:$B$11,2,FALSE)</f>
      </c>
      <c r="J181" s="8">
        <f>VLOOKUP(H181,outcomes!$A$1:$B$4,2,FALSE)</f>
      </c>
      <c r="K181" s="6">
        <f>G181-F181</f>
      </c>
      <c r="L181" s="7" t="s">
        <v>33</v>
      </c>
      <c r="M181" s="6">
        <v>50336</v>
      </c>
      <c r="N181" s="7" t="s">
        <v>34</v>
      </c>
    </row>
    <row x14ac:dyDescent="0.25" r="182" customHeight="1" ht="18.75">
      <c r="A182" s="6">
        <v>181</v>
      </c>
      <c r="B182" s="7" t="s">
        <v>495</v>
      </c>
      <c r="C182" s="6">
        <v>83</v>
      </c>
      <c r="D182" s="7" t="s">
        <v>47</v>
      </c>
      <c r="E182" s="6">
        <v>9</v>
      </c>
      <c r="F182" s="7" t="s">
        <v>496</v>
      </c>
      <c r="G182" s="7" t="s">
        <v>134</v>
      </c>
      <c r="H182" s="6">
        <v>2</v>
      </c>
      <c r="I182" s="8">
        <f>VLOOKUP(E182,diagnosis!$A$1:$B$11,2,FALSE)</f>
      </c>
      <c r="J182" s="8">
        <f>VLOOKUP(H182,outcomes!$A$1:$B$4,2,FALSE)</f>
      </c>
      <c r="K182" s="6">
        <f>G182-F182</f>
      </c>
      <c r="L182" s="7" t="s">
        <v>33</v>
      </c>
      <c r="M182" s="6">
        <v>8877</v>
      </c>
      <c r="N182" s="7" t="s">
        <v>34</v>
      </c>
    </row>
    <row x14ac:dyDescent="0.25" r="183" customHeight="1" ht="18.75">
      <c r="A183" s="6">
        <v>182</v>
      </c>
      <c r="B183" s="7" t="s">
        <v>497</v>
      </c>
      <c r="C183" s="6">
        <v>44</v>
      </c>
      <c r="D183" s="7" t="s">
        <v>47</v>
      </c>
      <c r="E183" s="6">
        <v>4</v>
      </c>
      <c r="F183" s="7" t="s">
        <v>438</v>
      </c>
      <c r="G183" s="7" t="s">
        <v>166</v>
      </c>
      <c r="H183" s="6">
        <v>1</v>
      </c>
      <c r="I183" s="8">
        <f>VLOOKUP(E183,diagnosis!$A$1:$B$11,2,FALSE)</f>
      </c>
      <c r="J183" s="8">
        <f>VLOOKUP(H183,outcomes!$A$1:$B$4,2,FALSE)</f>
      </c>
      <c r="K183" s="6">
        <f>G183-F183</f>
      </c>
      <c r="L183" s="7" t="s">
        <v>60</v>
      </c>
      <c r="M183" s="6">
        <v>20538</v>
      </c>
      <c r="N183" s="7" t="s">
        <v>50</v>
      </c>
    </row>
    <row x14ac:dyDescent="0.25" r="184" customHeight="1" ht="18.75">
      <c r="A184" s="6">
        <v>183</v>
      </c>
      <c r="B184" s="7" t="s">
        <v>498</v>
      </c>
      <c r="C184" s="6">
        <v>65</v>
      </c>
      <c r="D184" s="7" t="s">
        <v>30</v>
      </c>
      <c r="E184" s="6">
        <v>6</v>
      </c>
      <c r="F184" s="7" t="s">
        <v>368</v>
      </c>
      <c r="G184" s="7" t="s">
        <v>430</v>
      </c>
      <c r="H184" s="6">
        <v>3</v>
      </c>
      <c r="I184" s="8">
        <f>VLOOKUP(E184,diagnosis!$A$1:$B$11,2,FALSE)</f>
      </c>
      <c r="J184" s="8">
        <f>VLOOKUP(H184,outcomes!$A$1:$B$4,2,FALSE)</f>
      </c>
      <c r="K184" s="6">
        <f>G184-F184</f>
      </c>
      <c r="L184" s="7" t="s">
        <v>33</v>
      </c>
      <c r="M184" s="6">
        <v>11396</v>
      </c>
      <c r="N184" s="7" t="s">
        <v>34</v>
      </c>
    </row>
    <row x14ac:dyDescent="0.25" r="185" customHeight="1" ht="18.75">
      <c r="A185" s="6">
        <v>184</v>
      </c>
      <c r="B185" s="7" t="s">
        <v>499</v>
      </c>
      <c r="C185" s="6">
        <v>24</v>
      </c>
      <c r="D185" s="7" t="s">
        <v>30</v>
      </c>
      <c r="E185" s="6">
        <v>8</v>
      </c>
      <c r="F185" s="7" t="s">
        <v>500</v>
      </c>
      <c r="G185" s="7" t="s">
        <v>501</v>
      </c>
      <c r="H185" s="6">
        <v>1</v>
      </c>
      <c r="I185" s="8">
        <f>VLOOKUP(E185,diagnosis!$A$1:$B$11,2,FALSE)</f>
      </c>
      <c r="J185" s="8">
        <f>VLOOKUP(H185,outcomes!$A$1:$B$4,2,FALSE)</f>
      </c>
      <c r="K185" s="6">
        <f>G185-F185</f>
      </c>
      <c r="L185" s="7" t="s">
        <v>60</v>
      </c>
      <c r="M185" s="6">
        <v>27048</v>
      </c>
      <c r="N185" s="7" t="s">
        <v>34</v>
      </c>
    </row>
    <row x14ac:dyDescent="0.25" r="186" customHeight="1" ht="18.75">
      <c r="A186" s="6">
        <v>185</v>
      </c>
      <c r="B186" s="7" t="s">
        <v>502</v>
      </c>
      <c r="C186" s="6">
        <v>37</v>
      </c>
      <c r="D186" s="7" t="s">
        <v>47</v>
      </c>
      <c r="E186" s="6">
        <v>4</v>
      </c>
      <c r="F186" s="7" t="s">
        <v>503</v>
      </c>
      <c r="G186" s="7" t="s">
        <v>82</v>
      </c>
      <c r="H186" s="6">
        <v>3</v>
      </c>
      <c r="I186" s="8">
        <f>VLOOKUP(E186,diagnosis!$A$1:$B$11,2,FALSE)</f>
      </c>
      <c r="J186" s="8">
        <f>VLOOKUP(H186,outcomes!$A$1:$B$4,2,FALSE)</f>
      </c>
      <c r="K186" s="6">
        <f>G186-F186</f>
      </c>
      <c r="L186" s="7" t="s">
        <v>33</v>
      </c>
      <c r="M186" s="6">
        <v>91860</v>
      </c>
      <c r="N186" s="7" t="s">
        <v>39</v>
      </c>
    </row>
    <row x14ac:dyDescent="0.25" r="187" customHeight="1" ht="18.75">
      <c r="A187" s="6">
        <v>186</v>
      </c>
      <c r="B187" s="7" t="s">
        <v>504</v>
      </c>
      <c r="C187" s="6">
        <v>87</v>
      </c>
      <c r="D187" s="7" t="s">
        <v>47</v>
      </c>
      <c r="E187" s="6">
        <v>8</v>
      </c>
      <c r="F187" s="7" t="s">
        <v>505</v>
      </c>
      <c r="G187" s="7" t="s">
        <v>506</v>
      </c>
      <c r="H187" s="6">
        <v>2</v>
      </c>
      <c r="I187" s="8">
        <f>VLOOKUP(E187,diagnosis!$A$1:$B$11,2,FALSE)</f>
      </c>
      <c r="J187" s="8">
        <f>VLOOKUP(H187,outcomes!$A$1:$B$4,2,FALSE)</f>
      </c>
      <c r="K187" s="6">
        <f>G187-F187</f>
      </c>
      <c r="L187" s="7" t="s">
        <v>33</v>
      </c>
      <c r="M187" s="6">
        <v>27912</v>
      </c>
      <c r="N187" s="7" t="s">
        <v>39</v>
      </c>
    </row>
    <row x14ac:dyDescent="0.25" r="188" customHeight="1" ht="18.75">
      <c r="A188" s="6">
        <v>187</v>
      </c>
      <c r="B188" s="7" t="s">
        <v>507</v>
      </c>
      <c r="C188" s="6">
        <v>26</v>
      </c>
      <c r="D188" s="7" t="s">
        <v>30</v>
      </c>
      <c r="E188" s="6">
        <v>5</v>
      </c>
      <c r="F188" s="7" t="s">
        <v>508</v>
      </c>
      <c r="G188" s="7" t="s">
        <v>509</v>
      </c>
      <c r="H188" s="6">
        <v>1</v>
      </c>
      <c r="I188" s="8">
        <f>VLOOKUP(E188,diagnosis!$A$1:$B$11,2,FALSE)</f>
      </c>
      <c r="J188" s="8">
        <f>VLOOKUP(H188,outcomes!$A$1:$B$4,2,FALSE)</f>
      </c>
      <c r="K188" s="6">
        <f>G188-F188</f>
      </c>
      <c r="L188" s="7" t="s">
        <v>60</v>
      </c>
      <c r="M188" s="6">
        <v>18720</v>
      </c>
      <c r="N188" s="7" t="s">
        <v>39</v>
      </c>
    </row>
    <row x14ac:dyDescent="0.25" r="189" customHeight="1" ht="18.75">
      <c r="A189" s="6">
        <v>188</v>
      </c>
      <c r="B189" s="7" t="s">
        <v>510</v>
      </c>
      <c r="C189" s="6">
        <v>16</v>
      </c>
      <c r="D189" s="7" t="s">
        <v>47</v>
      </c>
      <c r="E189" s="6">
        <v>2</v>
      </c>
      <c r="F189" s="7" t="s">
        <v>49</v>
      </c>
      <c r="G189" s="7" t="s">
        <v>511</v>
      </c>
      <c r="H189" s="6">
        <v>1</v>
      </c>
      <c r="I189" s="8">
        <f>VLOOKUP(E189,diagnosis!$A$1:$B$11,2,FALSE)</f>
      </c>
      <c r="J189" s="8">
        <f>VLOOKUP(H189,outcomes!$A$1:$B$4,2,FALSE)</f>
      </c>
      <c r="K189" s="6">
        <f>G189-F189</f>
      </c>
      <c r="L189" s="7" t="s">
        <v>33</v>
      </c>
      <c r="M189" s="6">
        <v>44574</v>
      </c>
      <c r="N189" s="7" t="s">
        <v>39</v>
      </c>
    </row>
    <row x14ac:dyDescent="0.25" r="190" customHeight="1" ht="18.75">
      <c r="A190" s="6">
        <v>189</v>
      </c>
      <c r="B190" s="7" t="s">
        <v>512</v>
      </c>
      <c r="C190" s="6">
        <v>12</v>
      </c>
      <c r="D190" s="7" t="s">
        <v>30</v>
      </c>
      <c r="E190" s="6">
        <v>8</v>
      </c>
      <c r="F190" s="7" t="s">
        <v>114</v>
      </c>
      <c r="G190" s="7" t="s">
        <v>500</v>
      </c>
      <c r="H190" s="6">
        <v>2</v>
      </c>
      <c r="I190" s="8">
        <f>VLOOKUP(E190,diagnosis!$A$1:$B$11,2,FALSE)</f>
      </c>
      <c r="J190" s="8">
        <f>VLOOKUP(H190,outcomes!$A$1:$B$4,2,FALSE)</f>
      </c>
      <c r="K190" s="6">
        <f>G190-F190</f>
      </c>
      <c r="L190" s="7" t="s">
        <v>33</v>
      </c>
      <c r="M190" s="6">
        <v>61726</v>
      </c>
      <c r="N190" s="7" t="s">
        <v>50</v>
      </c>
    </row>
    <row x14ac:dyDescent="0.25" r="191" customHeight="1" ht="18.75">
      <c r="A191" s="6">
        <v>190</v>
      </c>
      <c r="B191" s="7" t="s">
        <v>341</v>
      </c>
      <c r="C191" s="6">
        <v>48</v>
      </c>
      <c r="D191" s="7" t="s">
        <v>30</v>
      </c>
      <c r="E191" s="6">
        <v>7</v>
      </c>
      <c r="F191" s="7" t="s">
        <v>513</v>
      </c>
      <c r="G191" s="7" t="s">
        <v>223</v>
      </c>
      <c r="H191" s="6">
        <v>1</v>
      </c>
      <c r="I191" s="8">
        <f>VLOOKUP(E191,diagnosis!$A$1:$B$11,2,FALSE)</f>
      </c>
      <c r="J191" s="8">
        <f>VLOOKUP(H191,outcomes!$A$1:$B$4,2,FALSE)</f>
      </c>
      <c r="K191" s="6">
        <f>G191-F191</f>
      </c>
      <c r="L191" s="7" t="s">
        <v>33</v>
      </c>
      <c r="M191" s="6">
        <v>49657</v>
      </c>
      <c r="N191" s="7" t="s">
        <v>34</v>
      </c>
    </row>
    <row x14ac:dyDescent="0.25" r="192" customHeight="1" ht="18.75">
      <c r="A192" s="6">
        <v>191</v>
      </c>
      <c r="B192" s="7" t="s">
        <v>514</v>
      </c>
      <c r="C192" s="6">
        <v>84</v>
      </c>
      <c r="D192" s="7" t="s">
        <v>47</v>
      </c>
      <c r="E192" s="6">
        <v>3</v>
      </c>
      <c r="F192" s="7" t="s">
        <v>474</v>
      </c>
      <c r="G192" s="7" t="s">
        <v>515</v>
      </c>
      <c r="H192" s="6">
        <v>1</v>
      </c>
      <c r="I192" s="8">
        <f>VLOOKUP(E192,diagnosis!$A$1:$B$11,2,FALSE)</f>
      </c>
      <c r="J192" s="8">
        <f>VLOOKUP(H192,outcomes!$A$1:$B$4,2,FALSE)</f>
      </c>
      <c r="K192" s="6">
        <f>G192-F192</f>
      </c>
      <c r="L192" s="7" t="s">
        <v>33</v>
      </c>
      <c r="M192" s="6">
        <v>10252</v>
      </c>
      <c r="N192" s="7" t="s">
        <v>50</v>
      </c>
    </row>
    <row x14ac:dyDescent="0.25" r="193" customHeight="1" ht="18.75">
      <c r="A193" s="6">
        <v>192</v>
      </c>
      <c r="B193" s="7" t="s">
        <v>504</v>
      </c>
      <c r="C193" s="6">
        <v>58</v>
      </c>
      <c r="D193" s="7" t="s">
        <v>30</v>
      </c>
      <c r="E193" s="6">
        <v>2</v>
      </c>
      <c r="F193" s="7" t="s">
        <v>374</v>
      </c>
      <c r="G193" s="7" t="s">
        <v>516</v>
      </c>
      <c r="H193" s="6">
        <v>1</v>
      </c>
      <c r="I193" s="8">
        <f>VLOOKUP(E193,diagnosis!$A$1:$B$11,2,FALSE)</f>
      </c>
      <c r="J193" s="8">
        <f>VLOOKUP(H193,outcomes!$A$1:$B$4,2,FALSE)</f>
      </c>
      <c r="K193" s="6">
        <f>G193-F193</f>
      </c>
      <c r="L193" s="7" t="s">
        <v>33</v>
      </c>
      <c r="M193" s="6">
        <v>54160</v>
      </c>
      <c r="N193" s="7" t="s">
        <v>50</v>
      </c>
    </row>
    <row x14ac:dyDescent="0.25" r="194" customHeight="1" ht="18.75">
      <c r="A194" s="6">
        <v>193</v>
      </c>
      <c r="B194" s="7" t="s">
        <v>431</v>
      </c>
      <c r="C194" s="6">
        <v>15</v>
      </c>
      <c r="D194" s="7" t="s">
        <v>47</v>
      </c>
      <c r="E194" s="6">
        <v>4</v>
      </c>
      <c r="F194" s="7" t="s">
        <v>517</v>
      </c>
      <c r="G194" s="7" t="s">
        <v>276</v>
      </c>
      <c r="H194" s="6">
        <v>2</v>
      </c>
      <c r="I194" s="8">
        <f>VLOOKUP(E194,diagnosis!$A$1:$B$11,2,FALSE)</f>
      </c>
      <c r="J194" s="8">
        <f>VLOOKUP(H194,outcomes!$A$1:$B$4,2,FALSE)</f>
      </c>
      <c r="K194" s="6">
        <f>G194-F194</f>
      </c>
      <c r="L194" s="7" t="s">
        <v>33</v>
      </c>
      <c r="M194" s="6">
        <v>36358</v>
      </c>
      <c r="N194" s="7" t="s">
        <v>39</v>
      </c>
    </row>
    <row x14ac:dyDescent="0.25" r="195" customHeight="1" ht="18.75">
      <c r="A195" s="6">
        <v>194</v>
      </c>
      <c r="B195" s="7" t="s">
        <v>518</v>
      </c>
      <c r="C195" s="6">
        <v>59</v>
      </c>
      <c r="D195" s="7" t="s">
        <v>30</v>
      </c>
      <c r="E195" s="6">
        <v>2</v>
      </c>
      <c r="F195" s="7" t="s">
        <v>318</v>
      </c>
      <c r="G195" s="7" t="s">
        <v>412</v>
      </c>
      <c r="H195" s="6">
        <v>2</v>
      </c>
      <c r="I195" s="8">
        <f>VLOOKUP(E195,diagnosis!$A$1:$B$11,2,FALSE)</f>
      </c>
      <c r="J195" s="8">
        <f>VLOOKUP(H195,outcomes!$A$1:$B$4,2,FALSE)</f>
      </c>
      <c r="K195" s="6">
        <f>G195-F195</f>
      </c>
      <c r="L195" s="7" t="s">
        <v>33</v>
      </c>
      <c r="M195" s="6">
        <v>62980</v>
      </c>
      <c r="N195" s="7" t="s">
        <v>34</v>
      </c>
    </row>
    <row x14ac:dyDescent="0.25" r="196" customHeight="1" ht="18.75">
      <c r="A196" s="6">
        <v>195</v>
      </c>
      <c r="B196" s="7" t="s">
        <v>155</v>
      </c>
      <c r="C196" s="6">
        <v>31</v>
      </c>
      <c r="D196" s="7" t="s">
        <v>30</v>
      </c>
      <c r="E196" s="6">
        <v>5</v>
      </c>
      <c r="F196" s="7" t="s">
        <v>519</v>
      </c>
      <c r="G196" s="7" t="s">
        <v>275</v>
      </c>
      <c r="H196" s="6">
        <v>2</v>
      </c>
      <c r="I196" s="8">
        <f>VLOOKUP(E196,diagnosis!$A$1:$B$11,2,FALSE)</f>
      </c>
      <c r="J196" s="8">
        <f>VLOOKUP(H196,outcomes!$A$1:$B$4,2,FALSE)</f>
      </c>
      <c r="K196" s="6">
        <f>G196-F196</f>
      </c>
      <c r="L196" s="7" t="s">
        <v>33</v>
      </c>
      <c r="M196" s="6">
        <v>75050</v>
      </c>
      <c r="N196" s="7" t="s">
        <v>50</v>
      </c>
    </row>
    <row x14ac:dyDescent="0.25" r="197" customHeight="1" ht="18.75">
      <c r="A197" s="6">
        <v>196</v>
      </c>
      <c r="B197" s="7" t="s">
        <v>520</v>
      </c>
      <c r="C197" s="6">
        <v>54</v>
      </c>
      <c r="D197" s="7" t="s">
        <v>30</v>
      </c>
      <c r="E197" s="6">
        <v>2</v>
      </c>
      <c r="F197" s="7" t="s">
        <v>521</v>
      </c>
      <c r="G197" s="7" t="s">
        <v>162</v>
      </c>
      <c r="H197" s="6">
        <v>3</v>
      </c>
      <c r="I197" s="8">
        <f>VLOOKUP(E197,diagnosis!$A$1:$B$11,2,FALSE)</f>
      </c>
      <c r="J197" s="8">
        <f>VLOOKUP(H197,outcomes!$A$1:$B$4,2,FALSE)</f>
      </c>
      <c r="K197" s="6">
        <f>G197-F197</f>
      </c>
      <c r="L197" s="7" t="s">
        <v>33</v>
      </c>
      <c r="M197" s="6">
        <v>48203</v>
      </c>
      <c r="N197" s="7" t="s">
        <v>34</v>
      </c>
    </row>
    <row x14ac:dyDescent="0.25" r="198" customHeight="1" ht="18.75">
      <c r="A198" s="6">
        <v>197</v>
      </c>
      <c r="B198" s="7" t="s">
        <v>522</v>
      </c>
      <c r="C198" s="6">
        <v>71</v>
      </c>
      <c r="D198" s="7" t="s">
        <v>30</v>
      </c>
      <c r="E198" s="6">
        <v>7</v>
      </c>
      <c r="F198" s="7" t="s">
        <v>523</v>
      </c>
      <c r="G198" s="7" t="s">
        <v>524</v>
      </c>
      <c r="H198" s="6">
        <v>2</v>
      </c>
      <c r="I198" s="8">
        <f>VLOOKUP(E198,diagnosis!$A$1:$B$11,2,FALSE)</f>
      </c>
      <c r="J198" s="8">
        <f>VLOOKUP(H198,outcomes!$A$1:$B$4,2,FALSE)</f>
      </c>
      <c r="K198" s="6">
        <f>G198-F198</f>
      </c>
      <c r="L198" s="7" t="s">
        <v>33</v>
      </c>
      <c r="M198" s="6">
        <v>60248</v>
      </c>
      <c r="N198" s="7" t="s">
        <v>34</v>
      </c>
    </row>
    <row x14ac:dyDescent="0.25" r="199" customHeight="1" ht="18.75">
      <c r="A199" s="6">
        <v>198</v>
      </c>
      <c r="B199" s="7" t="s">
        <v>73</v>
      </c>
      <c r="C199" s="6">
        <v>46</v>
      </c>
      <c r="D199" s="7" t="s">
        <v>30</v>
      </c>
      <c r="E199" s="6">
        <v>6</v>
      </c>
      <c r="F199" s="7" t="s">
        <v>233</v>
      </c>
      <c r="G199" s="7" t="s">
        <v>361</v>
      </c>
      <c r="H199" s="6">
        <v>1</v>
      </c>
      <c r="I199" s="8">
        <f>VLOOKUP(E199,diagnosis!$A$1:$B$11,2,FALSE)</f>
      </c>
      <c r="J199" s="8">
        <f>VLOOKUP(H199,outcomes!$A$1:$B$4,2,FALSE)</f>
      </c>
      <c r="K199" s="6">
        <f>G199-F199</f>
      </c>
      <c r="L199" s="7" t="s">
        <v>60</v>
      </c>
      <c r="M199" s="6">
        <v>2878</v>
      </c>
      <c r="N199" s="7" t="s">
        <v>50</v>
      </c>
    </row>
    <row x14ac:dyDescent="0.25" r="200" customHeight="1" ht="18.75">
      <c r="A200" s="6">
        <v>199</v>
      </c>
      <c r="B200" s="7" t="s">
        <v>525</v>
      </c>
      <c r="C200" s="6">
        <v>6</v>
      </c>
      <c r="D200" s="7" t="s">
        <v>47</v>
      </c>
      <c r="E200" s="6">
        <v>9</v>
      </c>
      <c r="F200" s="7" t="s">
        <v>526</v>
      </c>
      <c r="G200" s="7" t="s">
        <v>527</v>
      </c>
      <c r="H200" s="6">
        <v>2</v>
      </c>
      <c r="I200" s="8">
        <f>VLOOKUP(E200,diagnosis!$A$1:$B$11,2,FALSE)</f>
      </c>
      <c r="J200" s="8">
        <f>VLOOKUP(H200,outcomes!$A$1:$B$4,2,FALSE)</f>
      </c>
      <c r="K200" s="6">
        <f>G200-F200</f>
      </c>
      <c r="L200" s="7" t="s">
        <v>33</v>
      </c>
      <c r="M200" s="6">
        <v>10710</v>
      </c>
      <c r="N200" s="7" t="s">
        <v>39</v>
      </c>
    </row>
    <row x14ac:dyDescent="0.25" r="201" customHeight="1" ht="18.75">
      <c r="A201" s="6">
        <v>200</v>
      </c>
      <c r="B201" s="7" t="s">
        <v>528</v>
      </c>
      <c r="C201" s="6">
        <v>18</v>
      </c>
      <c r="D201" s="7" t="s">
        <v>30</v>
      </c>
      <c r="E201" s="6">
        <v>8</v>
      </c>
      <c r="F201" s="7" t="s">
        <v>529</v>
      </c>
      <c r="G201" s="7" t="s">
        <v>530</v>
      </c>
      <c r="H201" s="6">
        <v>1</v>
      </c>
      <c r="I201" s="8">
        <f>VLOOKUP(E201,diagnosis!$A$1:$B$11,2,FALSE)</f>
      </c>
      <c r="J201" s="8">
        <f>VLOOKUP(H201,outcomes!$A$1:$B$4,2,FALSE)</f>
      </c>
      <c r="K201" s="6">
        <f>G201-F201</f>
      </c>
      <c r="L201" s="7" t="s">
        <v>60</v>
      </c>
      <c r="M201" s="6">
        <v>21132</v>
      </c>
      <c r="N201" s="7" t="s">
        <v>39</v>
      </c>
    </row>
    <row x14ac:dyDescent="0.25" r="202" customHeight="1" ht="18.75">
      <c r="A202" s="6">
        <v>201</v>
      </c>
      <c r="B202" s="7" t="s">
        <v>124</v>
      </c>
      <c r="C202" s="6">
        <v>41</v>
      </c>
      <c r="D202" s="7" t="s">
        <v>47</v>
      </c>
      <c r="E202" s="6">
        <v>9</v>
      </c>
      <c r="F202" s="7" t="s">
        <v>531</v>
      </c>
      <c r="G202" s="7" t="s">
        <v>532</v>
      </c>
      <c r="H202" s="6">
        <v>2</v>
      </c>
      <c r="I202" s="8">
        <f>VLOOKUP(E202,diagnosis!$A$1:$B$11,2,FALSE)</f>
      </c>
      <c r="J202" s="8">
        <f>VLOOKUP(H202,outcomes!$A$1:$B$4,2,FALSE)</f>
      </c>
      <c r="K202" s="6">
        <f>G202-F202</f>
      </c>
      <c r="L202" s="7" t="s">
        <v>60</v>
      </c>
      <c r="M202" s="6">
        <v>9204</v>
      </c>
      <c r="N202" s="7" t="s">
        <v>50</v>
      </c>
    </row>
    <row x14ac:dyDescent="0.25" r="203" customHeight="1" ht="18.75">
      <c r="A203" s="6">
        <v>202</v>
      </c>
      <c r="B203" s="7" t="s">
        <v>274</v>
      </c>
      <c r="C203" s="6">
        <v>37</v>
      </c>
      <c r="D203" s="7" t="s">
        <v>47</v>
      </c>
      <c r="E203" s="6">
        <v>1</v>
      </c>
      <c r="F203" s="7" t="s">
        <v>533</v>
      </c>
      <c r="G203" s="7" t="s">
        <v>534</v>
      </c>
      <c r="H203" s="6">
        <v>3</v>
      </c>
      <c r="I203" s="8">
        <f>VLOOKUP(E203,diagnosis!$A$1:$B$11,2,FALSE)</f>
      </c>
      <c r="J203" s="8">
        <f>VLOOKUP(H203,outcomes!$A$1:$B$4,2,FALSE)</f>
      </c>
      <c r="K203" s="6">
        <f>G203-F203</f>
      </c>
      <c r="L203" s="7" t="s">
        <v>60</v>
      </c>
      <c r="M203" s="6">
        <v>32123</v>
      </c>
      <c r="N203" s="7" t="s">
        <v>34</v>
      </c>
    </row>
    <row x14ac:dyDescent="0.25" r="204" customHeight="1" ht="18.75">
      <c r="A204" s="6">
        <v>203</v>
      </c>
      <c r="B204" s="7" t="s">
        <v>535</v>
      </c>
      <c r="C204" s="6">
        <v>52</v>
      </c>
      <c r="D204" s="7" t="s">
        <v>47</v>
      </c>
      <c r="E204" s="6">
        <v>7</v>
      </c>
      <c r="F204" s="7" t="s">
        <v>59</v>
      </c>
      <c r="G204" s="7" t="s">
        <v>536</v>
      </c>
      <c r="H204" s="6">
        <v>2</v>
      </c>
      <c r="I204" s="8">
        <f>VLOOKUP(E204,diagnosis!$A$1:$B$11,2,FALSE)</f>
      </c>
      <c r="J204" s="8">
        <f>VLOOKUP(H204,outcomes!$A$1:$B$4,2,FALSE)</f>
      </c>
      <c r="K204" s="6">
        <f>G204-F204</f>
      </c>
      <c r="L204" s="7" t="s">
        <v>33</v>
      </c>
      <c r="M204" s="6">
        <v>55538</v>
      </c>
      <c r="N204" s="7" t="s">
        <v>34</v>
      </c>
    </row>
    <row x14ac:dyDescent="0.25" r="205" customHeight="1" ht="18.75">
      <c r="A205" s="6">
        <v>204</v>
      </c>
      <c r="B205" s="7" t="s">
        <v>537</v>
      </c>
      <c r="C205" s="6">
        <v>35</v>
      </c>
      <c r="D205" s="7" t="s">
        <v>30</v>
      </c>
      <c r="E205" s="6">
        <v>7</v>
      </c>
      <c r="F205" s="7" t="s">
        <v>385</v>
      </c>
      <c r="G205" s="7" t="s">
        <v>538</v>
      </c>
      <c r="H205" s="6">
        <v>1</v>
      </c>
      <c r="I205" s="8">
        <f>VLOOKUP(E205,diagnosis!$A$1:$B$11,2,FALSE)</f>
      </c>
      <c r="J205" s="8">
        <f>VLOOKUP(H205,outcomes!$A$1:$B$4,2,FALSE)</f>
      </c>
      <c r="K205" s="6">
        <f>G205-F205</f>
      </c>
      <c r="L205" s="7" t="s">
        <v>33</v>
      </c>
      <c r="M205" s="6">
        <v>81600</v>
      </c>
      <c r="N205" s="7" t="s">
        <v>50</v>
      </c>
    </row>
    <row x14ac:dyDescent="0.25" r="206" customHeight="1" ht="18.75">
      <c r="A206" s="6">
        <v>205</v>
      </c>
      <c r="B206" s="7" t="s">
        <v>539</v>
      </c>
      <c r="C206" s="6">
        <v>14</v>
      </c>
      <c r="D206" s="7" t="s">
        <v>30</v>
      </c>
      <c r="E206" s="6">
        <v>6</v>
      </c>
      <c r="F206" s="7" t="s">
        <v>540</v>
      </c>
      <c r="G206" s="7" t="s">
        <v>541</v>
      </c>
      <c r="H206" s="6">
        <v>3</v>
      </c>
      <c r="I206" s="8">
        <f>VLOOKUP(E206,diagnosis!$A$1:$B$11,2,FALSE)</f>
      </c>
      <c r="J206" s="8">
        <f>VLOOKUP(H206,outcomes!$A$1:$B$4,2,FALSE)</f>
      </c>
      <c r="K206" s="6">
        <f>G206-F206</f>
      </c>
      <c r="L206" s="7" t="s">
        <v>33</v>
      </c>
      <c r="M206" s="6">
        <v>53119</v>
      </c>
      <c r="N206" s="7" t="s">
        <v>50</v>
      </c>
    </row>
    <row x14ac:dyDescent="0.25" r="207" customHeight="1" ht="18.75">
      <c r="A207" s="6">
        <v>206</v>
      </c>
      <c r="B207" s="7" t="s">
        <v>542</v>
      </c>
      <c r="C207" s="6">
        <v>89</v>
      </c>
      <c r="D207" s="7" t="s">
        <v>47</v>
      </c>
      <c r="E207" s="6">
        <v>6</v>
      </c>
      <c r="F207" s="7" t="s">
        <v>543</v>
      </c>
      <c r="G207" s="7" t="s">
        <v>544</v>
      </c>
      <c r="H207" s="6">
        <v>2</v>
      </c>
      <c r="I207" s="8">
        <f>VLOOKUP(E207,diagnosis!$A$1:$B$11,2,FALSE)</f>
      </c>
      <c r="J207" s="8">
        <f>VLOOKUP(H207,outcomes!$A$1:$B$4,2,FALSE)</f>
      </c>
      <c r="K207" s="6">
        <f>G207-F207</f>
      </c>
      <c r="L207" s="7" t="s">
        <v>33</v>
      </c>
      <c r="M207" s="6">
        <v>28584</v>
      </c>
      <c r="N207" s="7" t="s">
        <v>34</v>
      </c>
    </row>
    <row x14ac:dyDescent="0.25" r="208" customHeight="1" ht="18.75">
      <c r="A208" s="6">
        <v>207</v>
      </c>
      <c r="B208" s="7" t="s">
        <v>545</v>
      </c>
      <c r="C208" s="6">
        <v>82</v>
      </c>
      <c r="D208" s="7" t="s">
        <v>30</v>
      </c>
      <c r="E208" s="6">
        <v>2</v>
      </c>
      <c r="F208" s="7" t="s">
        <v>546</v>
      </c>
      <c r="G208" s="7" t="s">
        <v>305</v>
      </c>
      <c r="H208" s="6">
        <v>3</v>
      </c>
      <c r="I208" s="8">
        <f>VLOOKUP(E208,diagnosis!$A$1:$B$11,2,FALSE)</f>
      </c>
      <c r="J208" s="8">
        <f>VLOOKUP(H208,outcomes!$A$1:$B$4,2,FALSE)</f>
      </c>
      <c r="K208" s="6">
        <f>G208-F208</f>
      </c>
      <c r="L208" s="7" t="s">
        <v>33</v>
      </c>
      <c r="M208" s="6">
        <v>34578</v>
      </c>
      <c r="N208" s="7" t="s">
        <v>34</v>
      </c>
    </row>
    <row x14ac:dyDescent="0.25" r="209" customHeight="1" ht="18.75">
      <c r="A209" s="6">
        <v>208</v>
      </c>
      <c r="B209" s="7" t="s">
        <v>73</v>
      </c>
      <c r="C209" s="6">
        <v>4</v>
      </c>
      <c r="D209" s="7" t="s">
        <v>30</v>
      </c>
      <c r="E209" s="6">
        <v>10</v>
      </c>
      <c r="F209" s="7" t="s">
        <v>547</v>
      </c>
      <c r="G209" s="7" t="s">
        <v>524</v>
      </c>
      <c r="H209" s="6">
        <v>3</v>
      </c>
      <c r="I209" s="8">
        <f>VLOOKUP(E209,diagnosis!$A$1:$B$11,2,FALSE)</f>
      </c>
      <c r="J209" s="8">
        <f>VLOOKUP(H209,outcomes!$A$1:$B$4,2,FALSE)</f>
      </c>
      <c r="K209" s="6">
        <f>G209-F209</f>
      </c>
      <c r="L209" s="7" t="s">
        <v>60</v>
      </c>
      <c r="M209" s="6">
        <v>19062</v>
      </c>
      <c r="N209" s="7" t="s">
        <v>34</v>
      </c>
    </row>
    <row x14ac:dyDescent="0.25" r="210" customHeight="1" ht="18.75">
      <c r="A210" s="6">
        <v>209</v>
      </c>
      <c r="B210" s="7" t="s">
        <v>410</v>
      </c>
      <c r="C210" s="6">
        <v>83</v>
      </c>
      <c r="D210" s="7" t="s">
        <v>47</v>
      </c>
      <c r="E210" s="6">
        <v>6</v>
      </c>
      <c r="F210" s="7" t="s">
        <v>111</v>
      </c>
      <c r="G210" s="7" t="s">
        <v>548</v>
      </c>
      <c r="H210" s="6">
        <v>2</v>
      </c>
      <c r="I210" s="8">
        <f>VLOOKUP(E210,diagnosis!$A$1:$B$11,2,FALSE)</f>
      </c>
      <c r="J210" s="8">
        <f>VLOOKUP(H210,outcomes!$A$1:$B$4,2,FALSE)</f>
      </c>
      <c r="K210" s="6">
        <f>G210-F210</f>
      </c>
      <c r="L210" s="7" t="s">
        <v>33</v>
      </c>
      <c r="M210" s="6">
        <v>25480</v>
      </c>
      <c r="N210" s="7" t="s">
        <v>34</v>
      </c>
    </row>
    <row x14ac:dyDescent="0.25" r="211" customHeight="1" ht="18.75">
      <c r="A211" s="6">
        <v>210</v>
      </c>
      <c r="B211" s="7" t="s">
        <v>370</v>
      </c>
      <c r="C211" s="6">
        <v>48</v>
      </c>
      <c r="D211" s="7" t="s">
        <v>47</v>
      </c>
      <c r="E211" s="6">
        <v>8</v>
      </c>
      <c r="F211" s="7" t="s">
        <v>549</v>
      </c>
      <c r="G211" s="7" t="s">
        <v>550</v>
      </c>
      <c r="H211" s="6">
        <v>1</v>
      </c>
      <c r="I211" s="8">
        <f>VLOOKUP(E211,diagnosis!$A$1:$B$11,2,FALSE)</f>
      </c>
      <c r="J211" s="8">
        <f>VLOOKUP(H211,outcomes!$A$1:$B$4,2,FALSE)</f>
      </c>
      <c r="K211" s="6">
        <f>G211-F211</f>
      </c>
      <c r="L211" s="7" t="s">
        <v>33</v>
      </c>
      <c r="M211" s="6">
        <v>54450</v>
      </c>
      <c r="N211" s="7" t="s">
        <v>39</v>
      </c>
    </row>
    <row x14ac:dyDescent="0.25" r="212" customHeight="1" ht="18.75">
      <c r="A212" s="6">
        <v>211</v>
      </c>
      <c r="B212" s="7" t="s">
        <v>343</v>
      </c>
      <c r="C212" s="6">
        <v>41</v>
      </c>
      <c r="D212" s="7" t="s">
        <v>47</v>
      </c>
      <c r="E212" s="6">
        <v>4</v>
      </c>
      <c r="F212" s="7" t="s">
        <v>551</v>
      </c>
      <c r="G212" s="7" t="s">
        <v>552</v>
      </c>
      <c r="H212" s="6">
        <v>1</v>
      </c>
      <c r="I212" s="8">
        <f>VLOOKUP(E212,diagnosis!$A$1:$B$11,2,FALSE)</f>
      </c>
      <c r="J212" s="8">
        <f>VLOOKUP(H212,outcomes!$A$1:$B$4,2,FALSE)</f>
      </c>
      <c r="K212" s="6">
        <f>G212-F212</f>
      </c>
      <c r="L212" s="7" t="s">
        <v>33</v>
      </c>
      <c r="M212" s="6">
        <v>52624</v>
      </c>
      <c r="N212" s="7" t="s">
        <v>34</v>
      </c>
    </row>
    <row x14ac:dyDescent="0.25" r="213" customHeight="1" ht="18.75">
      <c r="A213" s="6">
        <v>212</v>
      </c>
      <c r="B213" s="7" t="s">
        <v>311</v>
      </c>
      <c r="C213" s="6">
        <v>72</v>
      </c>
      <c r="D213" s="7" t="s">
        <v>30</v>
      </c>
      <c r="E213" s="6">
        <v>5</v>
      </c>
      <c r="F213" s="7" t="s">
        <v>553</v>
      </c>
      <c r="G213" s="7" t="s">
        <v>466</v>
      </c>
      <c r="H213" s="6">
        <v>2</v>
      </c>
      <c r="I213" s="8">
        <f>VLOOKUP(E213,diagnosis!$A$1:$B$11,2,FALSE)</f>
      </c>
      <c r="J213" s="8">
        <f>VLOOKUP(H213,outcomes!$A$1:$B$4,2,FALSE)</f>
      </c>
      <c r="K213" s="6">
        <f>G213-F213</f>
      </c>
      <c r="L213" s="7" t="s">
        <v>33</v>
      </c>
      <c r="M213" s="6">
        <v>36478</v>
      </c>
      <c r="N213" s="7" t="s">
        <v>39</v>
      </c>
    </row>
    <row x14ac:dyDescent="0.25" r="214" customHeight="1" ht="18.75">
      <c r="A214" s="6">
        <v>213</v>
      </c>
      <c r="B214" s="7" t="s">
        <v>554</v>
      </c>
      <c r="C214" s="6">
        <v>26</v>
      </c>
      <c r="D214" s="7" t="s">
        <v>30</v>
      </c>
      <c r="E214" s="6">
        <v>3</v>
      </c>
      <c r="F214" s="7" t="s">
        <v>555</v>
      </c>
      <c r="G214" s="7" t="s">
        <v>556</v>
      </c>
      <c r="H214" s="6">
        <v>1</v>
      </c>
      <c r="I214" s="8">
        <f>VLOOKUP(E214,diagnosis!$A$1:$B$11,2,FALSE)</f>
      </c>
      <c r="J214" s="8">
        <f>VLOOKUP(H214,outcomes!$A$1:$B$4,2,FALSE)</f>
      </c>
      <c r="K214" s="6">
        <f>G214-F214</f>
      </c>
      <c r="L214" s="7" t="s">
        <v>33</v>
      </c>
      <c r="M214" s="6">
        <v>33504</v>
      </c>
      <c r="N214" s="7" t="s">
        <v>39</v>
      </c>
    </row>
    <row x14ac:dyDescent="0.25" r="215" customHeight="1" ht="18.75">
      <c r="A215" s="6">
        <v>214</v>
      </c>
      <c r="B215" s="7" t="s">
        <v>528</v>
      </c>
      <c r="C215" s="6">
        <v>86</v>
      </c>
      <c r="D215" s="7" t="s">
        <v>47</v>
      </c>
      <c r="E215" s="6">
        <v>2</v>
      </c>
      <c r="F215" s="7" t="s">
        <v>557</v>
      </c>
      <c r="G215" s="7" t="s">
        <v>327</v>
      </c>
      <c r="H215" s="6">
        <v>3</v>
      </c>
      <c r="I215" s="8">
        <f>VLOOKUP(E215,diagnosis!$A$1:$B$11,2,FALSE)</f>
      </c>
      <c r="J215" s="8">
        <f>VLOOKUP(H215,outcomes!$A$1:$B$4,2,FALSE)</f>
      </c>
      <c r="K215" s="6">
        <f>G215-F215</f>
      </c>
      <c r="L215" s="7" t="s">
        <v>33</v>
      </c>
      <c r="M215" s="6">
        <v>45914</v>
      </c>
      <c r="N215" s="7" t="s">
        <v>50</v>
      </c>
    </row>
    <row x14ac:dyDescent="0.25" r="216" customHeight="1" ht="18.75">
      <c r="A216" s="6">
        <v>215</v>
      </c>
      <c r="B216" s="7" t="s">
        <v>558</v>
      </c>
      <c r="C216" s="6">
        <v>47</v>
      </c>
      <c r="D216" s="7" t="s">
        <v>30</v>
      </c>
      <c r="E216" s="6">
        <v>2</v>
      </c>
      <c r="F216" s="7" t="s">
        <v>559</v>
      </c>
      <c r="G216" s="7" t="s">
        <v>427</v>
      </c>
      <c r="H216" s="6">
        <v>1</v>
      </c>
      <c r="I216" s="8">
        <f>VLOOKUP(E216,diagnosis!$A$1:$B$11,2,FALSE)</f>
      </c>
      <c r="J216" s="8">
        <f>VLOOKUP(H216,outcomes!$A$1:$B$4,2,FALSE)</f>
      </c>
      <c r="K216" s="6">
        <f>G216-F216</f>
      </c>
      <c r="L216" s="7" t="s">
        <v>33</v>
      </c>
      <c r="M216" s="6">
        <v>14754</v>
      </c>
      <c r="N216" s="7" t="s">
        <v>39</v>
      </c>
    </row>
    <row x14ac:dyDescent="0.25" r="217" customHeight="1" ht="18.75">
      <c r="A217" s="6">
        <v>216</v>
      </c>
      <c r="B217" s="7" t="s">
        <v>560</v>
      </c>
      <c r="C217" s="6">
        <v>71</v>
      </c>
      <c r="D217" s="7" t="s">
        <v>47</v>
      </c>
      <c r="E217" s="6">
        <v>8</v>
      </c>
      <c r="F217" s="7" t="s">
        <v>561</v>
      </c>
      <c r="G217" s="7" t="s">
        <v>562</v>
      </c>
      <c r="H217" s="6">
        <v>3</v>
      </c>
      <c r="I217" s="8">
        <f>VLOOKUP(E217,diagnosis!$A$1:$B$11,2,FALSE)</f>
      </c>
      <c r="J217" s="8">
        <f>VLOOKUP(H217,outcomes!$A$1:$B$4,2,FALSE)</f>
      </c>
      <c r="K217" s="6">
        <f>G217-F217</f>
      </c>
      <c r="L217" s="7" t="s">
        <v>33</v>
      </c>
      <c r="M217" s="6">
        <v>35676</v>
      </c>
      <c r="N217" s="7" t="s">
        <v>39</v>
      </c>
    </row>
    <row x14ac:dyDescent="0.25" r="218" customHeight="1" ht="18.75">
      <c r="A218" s="6">
        <v>217</v>
      </c>
      <c r="B218" s="7" t="s">
        <v>351</v>
      </c>
      <c r="C218" s="6">
        <v>51</v>
      </c>
      <c r="D218" s="7" t="s">
        <v>47</v>
      </c>
      <c r="E218" s="6">
        <v>9</v>
      </c>
      <c r="F218" s="7" t="s">
        <v>563</v>
      </c>
      <c r="G218" s="7" t="s">
        <v>564</v>
      </c>
      <c r="H218" s="6">
        <v>2</v>
      </c>
      <c r="I218" s="8">
        <f>VLOOKUP(E218,diagnosis!$A$1:$B$11,2,FALSE)</f>
      </c>
      <c r="J218" s="8">
        <f>VLOOKUP(H218,outcomes!$A$1:$B$4,2,FALSE)</f>
      </c>
      <c r="K218" s="6">
        <f>G218-F218</f>
      </c>
      <c r="L218" s="7" t="s">
        <v>33</v>
      </c>
      <c r="M218" s="6">
        <v>21080</v>
      </c>
      <c r="N218" s="7" t="s">
        <v>39</v>
      </c>
    </row>
    <row x14ac:dyDescent="0.25" r="219" customHeight="1" ht="18.75">
      <c r="A219" s="6">
        <v>218</v>
      </c>
      <c r="B219" s="7" t="s">
        <v>565</v>
      </c>
      <c r="C219" s="6">
        <v>83</v>
      </c>
      <c r="D219" s="7" t="s">
        <v>30</v>
      </c>
      <c r="E219" s="6">
        <v>8</v>
      </c>
      <c r="F219" s="7" t="s">
        <v>566</v>
      </c>
      <c r="G219" s="7" t="s">
        <v>153</v>
      </c>
      <c r="H219" s="6">
        <v>2</v>
      </c>
      <c r="I219" s="8">
        <f>VLOOKUP(E219,diagnosis!$A$1:$B$11,2,FALSE)</f>
      </c>
      <c r="J219" s="8">
        <f>VLOOKUP(H219,outcomes!$A$1:$B$4,2,FALSE)</f>
      </c>
      <c r="K219" s="6">
        <f>G219-F219</f>
      </c>
      <c r="L219" s="7" t="s">
        <v>33</v>
      </c>
      <c r="M219" s="6">
        <v>50589</v>
      </c>
      <c r="N219" s="7" t="s">
        <v>39</v>
      </c>
    </row>
    <row x14ac:dyDescent="0.25" r="220" customHeight="1" ht="18.75">
      <c r="A220" s="6">
        <v>219</v>
      </c>
      <c r="B220" s="7" t="s">
        <v>567</v>
      </c>
      <c r="C220" s="6">
        <v>82</v>
      </c>
      <c r="D220" s="7" t="s">
        <v>30</v>
      </c>
      <c r="E220" s="6">
        <v>3</v>
      </c>
      <c r="F220" s="7" t="s">
        <v>273</v>
      </c>
      <c r="G220" s="7" t="s">
        <v>373</v>
      </c>
      <c r="H220" s="6">
        <v>2</v>
      </c>
      <c r="I220" s="8">
        <f>VLOOKUP(E220,diagnosis!$A$1:$B$11,2,FALSE)</f>
      </c>
      <c r="J220" s="8">
        <f>VLOOKUP(H220,outcomes!$A$1:$B$4,2,FALSE)</f>
      </c>
      <c r="K220" s="6">
        <f>G220-F220</f>
      </c>
      <c r="L220" s="7" t="s">
        <v>33</v>
      </c>
      <c r="M220" s="6">
        <v>64926</v>
      </c>
      <c r="N220" s="7" t="s">
        <v>34</v>
      </c>
    </row>
    <row x14ac:dyDescent="0.25" r="221" customHeight="1" ht="18.75">
      <c r="A221" s="6">
        <v>220</v>
      </c>
      <c r="B221" s="7" t="s">
        <v>109</v>
      </c>
      <c r="C221" s="6">
        <v>39</v>
      </c>
      <c r="D221" s="7" t="s">
        <v>30</v>
      </c>
      <c r="E221" s="6">
        <v>3</v>
      </c>
      <c r="F221" s="7" t="s">
        <v>568</v>
      </c>
      <c r="G221" s="7" t="s">
        <v>569</v>
      </c>
      <c r="H221" s="6">
        <v>2</v>
      </c>
      <c r="I221" s="8">
        <f>VLOOKUP(E221,diagnosis!$A$1:$B$11,2,FALSE)</f>
      </c>
      <c r="J221" s="8">
        <f>VLOOKUP(H221,outcomes!$A$1:$B$4,2,FALSE)</f>
      </c>
      <c r="K221" s="6">
        <f>G221-F221</f>
      </c>
      <c r="L221" s="7" t="s">
        <v>33</v>
      </c>
      <c r="M221" s="6">
        <v>21105</v>
      </c>
      <c r="N221" s="7" t="s">
        <v>50</v>
      </c>
    </row>
    <row x14ac:dyDescent="0.25" r="222" customHeight="1" ht="18.75">
      <c r="A222" s="6">
        <v>221</v>
      </c>
      <c r="B222" s="7" t="s">
        <v>141</v>
      </c>
      <c r="C222" s="6">
        <v>11</v>
      </c>
      <c r="D222" s="7" t="s">
        <v>47</v>
      </c>
      <c r="E222" s="6">
        <v>4</v>
      </c>
      <c r="F222" s="7" t="s">
        <v>312</v>
      </c>
      <c r="G222" s="7" t="s">
        <v>570</v>
      </c>
      <c r="H222" s="6">
        <v>3</v>
      </c>
      <c r="I222" s="8">
        <f>VLOOKUP(E222,diagnosis!$A$1:$B$11,2,FALSE)</f>
      </c>
      <c r="J222" s="8">
        <f>VLOOKUP(H222,outcomes!$A$1:$B$4,2,FALSE)</f>
      </c>
      <c r="K222" s="6">
        <f>G222-F222</f>
      </c>
      <c r="L222" s="7" t="s">
        <v>33</v>
      </c>
      <c r="M222" s="6">
        <v>27110</v>
      </c>
      <c r="N222" s="7" t="s">
        <v>39</v>
      </c>
    </row>
    <row x14ac:dyDescent="0.25" r="223" customHeight="1" ht="18.75">
      <c r="A223" s="6">
        <v>222</v>
      </c>
      <c r="B223" s="7" t="s">
        <v>571</v>
      </c>
      <c r="C223" s="6">
        <v>69</v>
      </c>
      <c r="D223" s="7" t="s">
        <v>30</v>
      </c>
      <c r="E223" s="6">
        <v>9</v>
      </c>
      <c r="F223" s="7" t="s">
        <v>278</v>
      </c>
      <c r="G223" s="7" t="s">
        <v>572</v>
      </c>
      <c r="H223" s="6">
        <v>3</v>
      </c>
      <c r="I223" s="8">
        <f>VLOOKUP(E223,diagnosis!$A$1:$B$11,2,FALSE)</f>
      </c>
      <c r="J223" s="8">
        <f>VLOOKUP(H223,outcomes!$A$1:$B$4,2,FALSE)</f>
      </c>
      <c r="K223" s="6">
        <f>G223-F223</f>
      </c>
      <c r="L223" s="7" t="s">
        <v>33</v>
      </c>
      <c r="M223" s="6">
        <v>71340</v>
      </c>
      <c r="N223" s="7" t="s">
        <v>39</v>
      </c>
    </row>
    <row x14ac:dyDescent="0.25" r="224" customHeight="1" ht="18.75">
      <c r="A224" s="6">
        <v>223</v>
      </c>
      <c r="B224" s="7" t="s">
        <v>132</v>
      </c>
      <c r="C224" s="6">
        <v>85</v>
      </c>
      <c r="D224" s="7" t="s">
        <v>47</v>
      </c>
      <c r="E224" s="6">
        <v>10</v>
      </c>
      <c r="F224" s="7" t="s">
        <v>500</v>
      </c>
      <c r="G224" s="7" t="s">
        <v>501</v>
      </c>
      <c r="H224" s="6">
        <v>1</v>
      </c>
      <c r="I224" s="8">
        <f>VLOOKUP(E224,diagnosis!$A$1:$B$11,2,FALSE)</f>
      </c>
      <c r="J224" s="8">
        <f>VLOOKUP(H224,outcomes!$A$1:$B$4,2,FALSE)</f>
      </c>
      <c r="K224" s="6">
        <f>G224-F224</f>
      </c>
      <c r="L224" s="7" t="s">
        <v>33</v>
      </c>
      <c r="M224" s="6">
        <v>22674</v>
      </c>
      <c r="N224" s="7" t="s">
        <v>39</v>
      </c>
    </row>
    <row x14ac:dyDescent="0.25" r="225" customHeight="1" ht="18.75">
      <c r="A225" s="6">
        <v>224</v>
      </c>
      <c r="B225" s="7" t="s">
        <v>101</v>
      </c>
      <c r="C225" s="6">
        <v>74</v>
      </c>
      <c r="D225" s="7" t="s">
        <v>47</v>
      </c>
      <c r="E225" s="6">
        <v>10</v>
      </c>
      <c r="F225" s="7" t="s">
        <v>573</v>
      </c>
      <c r="G225" s="7" t="s">
        <v>255</v>
      </c>
      <c r="H225" s="6">
        <v>3</v>
      </c>
      <c r="I225" s="8">
        <f>VLOOKUP(E225,diagnosis!$A$1:$B$11,2,FALSE)</f>
      </c>
      <c r="J225" s="8">
        <f>VLOOKUP(H225,outcomes!$A$1:$B$4,2,FALSE)</f>
      </c>
      <c r="K225" s="6">
        <f>G225-F225</f>
      </c>
      <c r="L225" s="7" t="s">
        <v>33</v>
      </c>
      <c r="M225" s="6">
        <v>28609</v>
      </c>
      <c r="N225" s="7" t="s">
        <v>39</v>
      </c>
    </row>
    <row x14ac:dyDescent="0.25" r="226" customHeight="1" ht="18.75">
      <c r="A226" s="6">
        <v>225</v>
      </c>
      <c r="B226" s="7" t="s">
        <v>92</v>
      </c>
      <c r="C226" s="6">
        <v>62</v>
      </c>
      <c r="D226" s="7" t="s">
        <v>30</v>
      </c>
      <c r="E226" s="6">
        <v>7</v>
      </c>
      <c r="F226" s="7" t="s">
        <v>574</v>
      </c>
      <c r="G226" s="7" t="s">
        <v>575</v>
      </c>
      <c r="H226" s="6">
        <v>2</v>
      </c>
      <c r="I226" s="8">
        <f>VLOOKUP(E226,diagnosis!$A$1:$B$11,2,FALSE)</f>
      </c>
      <c r="J226" s="8">
        <f>VLOOKUP(H226,outcomes!$A$1:$B$4,2,FALSE)</f>
      </c>
      <c r="K226" s="6">
        <f>G226-F226</f>
      </c>
      <c r="L226" s="7" t="s">
        <v>33</v>
      </c>
      <c r="M226" s="6">
        <v>29920</v>
      </c>
      <c r="N226" s="7" t="s">
        <v>34</v>
      </c>
    </row>
    <row x14ac:dyDescent="0.25" r="227" customHeight="1" ht="18.75">
      <c r="A227" s="6">
        <v>226</v>
      </c>
      <c r="B227" s="7" t="s">
        <v>101</v>
      </c>
      <c r="C227" s="6">
        <v>54</v>
      </c>
      <c r="D227" s="7" t="s">
        <v>47</v>
      </c>
      <c r="E227" s="6">
        <v>8</v>
      </c>
      <c r="F227" s="7" t="s">
        <v>576</v>
      </c>
      <c r="G227" s="7" t="s">
        <v>93</v>
      </c>
      <c r="H227" s="6">
        <v>1</v>
      </c>
      <c r="I227" s="8">
        <f>VLOOKUP(E227,diagnosis!$A$1:$B$11,2,FALSE)</f>
      </c>
      <c r="J227" s="8">
        <f>VLOOKUP(H227,outcomes!$A$1:$B$4,2,FALSE)</f>
      </c>
      <c r="K227" s="6">
        <f>G227-F227</f>
      </c>
      <c r="L227" s="7" t="s">
        <v>33</v>
      </c>
      <c r="M227" s="6">
        <v>51945</v>
      </c>
      <c r="N227" s="7" t="s">
        <v>39</v>
      </c>
    </row>
    <row x14ac:dyDescent="0.25" r="228" customHeight="1" ht="18.75">
      <c r="A228" s="6">
        <v>227</v>
      </c>
      <c r="B228" s="7" t="s">
        <v>577</v>
      </c>
      <c r="C228" s="6">
        <v>45</v>
      </c>
      <c r="D228" s="7" t="s">
        <v>47</v>
      </c>
      <c r="E228" s="6">
        <v>3</v>
      </c>
      <c r="F228" s="7" t="s">
        <v>572</v>
      </c>
      <c r="G228" s="7" t="s">
        <v>69</v>
      </c>
      <c r="H228" s="6">
        <v>2</v>
      </c>
      <c r="I228" s="8">
        <f>VLOOKUP(E228,diagnosis!$A$1:$B$11,2,FALSE)</f>
      </c>
      <c r="J228" s="8">
        <f>VLOOKUP(H228,outcomes!$A$1:$B$4,2,FALSE)</f>
      </c>
      <c r="K228" s="6">
        <f>G228-F228</f>
      </c>
      <c r="L228" s="7" t="s">
        <v>33</v>
      </c>
      <c r="M228" s="6">
        <v>22176</v>
      </c>
      <c r="N228" s="7" t="s">
        <v>39</v>
      </c>
    </row>
    <row x14ac:dyDescent="0.25" r="229" customHeight="1" ht="18.75">
      <c r="A229" s="6">
        <v>228</v>
      </c>
      <c r="B229" s="7" t="s">
        <v>51</v>
      </c>
      <c r="C229" s="6">
        <v>60</v>
      </c>
      <c r="D229" s="7" t="s">
        <v>30</v>
      </c>
      <c r="E229" s="6">
        <v>5</v>
      </c>
      <c r="F229" s="7" t="s">
        <v>578</v>
      </c>
      <c r="G229" s="7" t="s">
        <v>579</v>
      </c>
      <c r="H229" s="6">
        <v>2</v>
      </c>
      <c r="I229" s="8">
        <f>VLOOKUP(E229,diagnosis!$A$1:$B$11,2,FALSE)</f>
      </c>
      <c r="J229" s="8">
        <f>VLOOKUP(H229,outcomes!$A$1:$B$4,2,FALSE)</f>
      </c>
      <c r="K229" s="6">
        <f>G229-F229</f>
      </c>
      <c r="L229" s="7" t="s">
        <v>33</v>
      </c>
      <c r="M229" s="6">
        <v>34912</v>
      </c>
      <c r="N229" s="7" t="s">
        <v>50</v>
      </c>
    </row>
    <row x14ac:dyDescent="0.25" r="230" customHeight="1" ht="18.75">
      <c r="A230" s="6">
        <v>229</v>
      </c>
      <c r="B230" s="7" t="s">
        <v>580</v>
      </c>
      <c r="C230" s="6">
        <v>50</v>
      </c>
      <c r="D230" s="7" t="s">
        <v>47</v>
      </c>
      <c r="E230" s="6">
        <v>4</v>
      </c>
      <c r="F230" s="7" t="s">
        <v>581</v>
      </c>
      <c r="G230" s="7" t="s">
        <v>582</v>
      </c>
      <c r="H230" s="6">
        <v>1</v>
      </c>
      <c r="I230" s="8">
        <f>VLOOKUP(E230,diagnosis!$A$1:$B$11,2,FALSE)</f>
      </c>
      <c r="J230" s="8">
        <f>VLOOKUP(H230,outcomes!$A$1:$B$4,2,FALSE)</f>
      </c>
      <c r="K230" s="6">
        <f>G230-F230</f>
      </c>
      <c r="L230" s="7" t="s">
        <v>33</v>
      </c>
      <c r="M230" s="6">
        <v>26870</v>
      </c>
      <c r="N230" s="7" t="s">
        <v>39</v>
      </c>
    </row>
    <row x14ac:dyDescent="0.25" r="231" customHeight="1" ht="18.75">
      <c r="A231" s="6">
        <v>230</v>
      </c>
      <c r="B231" s="7" t="s">
        <v>583</v>
      </c>
      <c r="C231" s="6">
        <v>64</v>
      </c>
      <c r="D231" s="7" t="s">
        <v>47</v>
      </c>
      <c r="E231" s="6">
        <v>8</v>
      </c>
      <c r="F231" s="7" t="s">
        <v>584</v>
      </c>
      <c r="G231" s="7" t="s">
        <v>585</v>
      </c>
      <c r="H231" s="6">
        <v>2</v>
      </c>
      <c r="I231" s="8">
        <f>VLOOKUP(E231,diagnosis!$A$1:$B$11,2,FALSE)</f>
      </c>
      <c r="J231" s="8">
        <f>VLOOKUP(H231,outcomes!$A$1:$B$4,2,FALSE)</f>
      </c>
      <c r="K231" s="6">
        <f>G231-F231</f>
      </c>
      <c r="L231" s="7" t="s">
        <v>33</v>
      </c>
      <c r="M231" s="6">
        <v>18900</v>
      </c>
      <c r="N231" s="7" t="s">
        <v>50</v>
      </c>
    </row>
    <row x14ac:dyDescent="0.25" r="232" customHeight="1" ht="18.75">
      <c r="A232" s="6">
        <v>231</v>
      </c>
      <c r="B232" s="7" t="s">
        <v>586</v>
      </c>
      <c r="C232" s="6">
        <v>59</v>
      </c>
      <c r="D232" s="7" t="s">
        <v>30</v>
      </c>
      <c r="E232" s="6">
        <v>4</v>
      </c>
      <c r="F232" s="7" t="s">
        <v>587</v>
      </c>
      <c r="G232" s="7" t="s">
        <v>588</v>
      </c>
      <c r="H232" s="6">
        <v>3</v>
      </c>
      <c r="I232" s="8">
        <f>VLOOKUP(E232,diagnosis!$A$1:$B$11,2,FALSE)</f>
      </c>
      <c r="J232" s="8">
        <f>VLOOKUP(H232,outcomes!$A$1:$B$4,2,FALSE)</f>
      </c>
      <c r="K232" s="6">
        <f>G232-F232</f>
      </c>
      <c r="L232" s="7" t="s">
        <v>33</v>
      </c>
      <c r="M232" s="6">
        <v>75871</v>
      </c>
      <c r="N232" s="7" t="s">
        <v>34</v>
      </c>
    </row>
    <row x14ac:dyDescent="0.25" r="233" customHeight="1" ht="18.75">
      <c r="A233" s="6">
        <v>232</v>
      </c>
      <c r="B233" s="7" t="s">
        <v>478</v>
      </c>
      <c r="C233" s="6">
        <v>77</v>
      </c>
      <c r="D233" s="7" t="s">
        <v>47</v>
      </c>
      <c r="E233" s="6">
        <v>5</v>
      </c>
      <c r="F233" s="7" t="s">
        <v>589</v>
      </c>
      <c r="G233" s="7" t="s">
        <v>590</v>
      </c>
      <c r="H233" s="6">
        <v>3</v>
      </c>
      <c r="I233" s="8">
        <f>VLOOKUP(E233,diagnosis!$A$1:$B$11,2,FALSE)</f>
      </c>
      <c r="J233" s="8">
        <f>VLOOKUP(H233,outcomes!$A$1:$B$4,2,FALSE)</f>
      </c>
      <c r="K233" s="6">
        <f>G233-F233</f>
      </c>
      <c r="L233" s="7" t="s">
        <v>33</v>
      </c>
      <c r="M233" s="6">
        <v>48640</v>
      </c>
      <c r="N233" s="7" t="s">
        <v>39</v>
      </c>
    </row>
    <row x14ac:dyDescent="0.25" r="234" customHeight="1" ht="18.75">
      <c r="A234" s="6">
        <v>233</v>
      </c>
      <c r="B234" s="7" t="s">
        <v>591</v>
      </c>
      <c r="C234" s="6">
        <v>47</v>
      </c>
      <c r="D234" s="7" t="s">
        <v>47</v>
      </c>
      <c r="E234" s="6">
        <v>6</v>
      </c>
      <c r="F234" s="7" t="s">
        <v>281</v>
      </c>
      <c r="G234" s="7" t="s">
        <v>592</v>
      </c>
      <c r="H234" s="6">
        <v>1</v>
      </c>
      <c r="I234" s="8">
        <f>VLOOKUP(E234,diagnosis!$A$1:$B$11,2,FALSE)</f>
      </c>
      <c r="J234" s="8">
        <f>VLOOKUP(H234,outcomes!$A$1:$B$4,2,FALSE)</f>
      </c>
      <c r="K234" s="6">
        <f>G234-F234</f>
      </c>
      <c r="L234" s="7" t="s">
        <v>33</v>
      </c>
      <c r="M234" s="6">
        <v>34614</v>
      </c>
      <c r="N234" s="7" t="s">
        <v>34</v>
      </c>
    </row>
    <row x14ac:dyDescent="0.25" r="235" customHeight="1" ht="18.75">
      <c r="A235" s="6">
        <v>234</v>
      </c>
      <c r="B235" s="7" t="s">
        <v>593</v>
      </c>
      <c r="C235" s="6">
        <v>71</v>
      </c>
      <c r="D235" s="7" t="s">
        <v>47</v>
      </c>
      <c r="E235" s="6">
        <v>2</v>
      </c>
      <c r="F235" s="7" t="s">
        <v>594</v>
      </c>
      <c r="G235" s="7" t="s">
        <v>532</v>
      </c>
      <c r="H235" s="6">
        <v>2</v>
      </c>
      <c r="I235" s="8">
        <f>VLOOKUP(E235,diagnosis!$A$1:$B$11,2,FALSE)</f>
      </c>
      <c r="J235" s="8">
        <f>VLOOKUP(H235,outcomes!$A$1:$B$4,2,FALSE)</f>
      </c>
      <c r="K235" s="6">
        <f>G235-F235</f>
      </c>
      <c r="L235" s="7" t="s">
        <v>33</v>
      </c>
      <c r="M235" s="6">
        <v>35208</v>
      </c>
      <c r="N235" s="7" t="s">
        <v>39</v>
      </c>
    </row>
    <row x14ac:dyDescent="0.25" r="236" customHeight="1" ht="18.75">
      <c r="A236" s="6">
        <v>235</v>
      </c>
      <c r="B236" s="7" t="s">
        <v>115</v>
      </c>
      <c r="C236" s="6">
        <v>88</v>
      </c>
      <c r="D236" s="7" t="s">
        <v>30</v>
      </c>
      <c r="E236" s="6">
        <v>3</v>
      </c>
      <c r="F236" s="7" t="s">
        <v>595</v>
      </c>
      <c r="G236" s="7" t="s">
        <v>590</v>
      </c>
      <c r="H236" s="6">
        <v>1</v>
      </c>
      <c r="I236" s="8">
        <f>VLOOKUP(E236,diagnosis!$A$1:$B$11,2,FALSE)</f>
      </c>
      <c r="J236" s="8">
        <f>VLOOKUP(H236,outcomes!$A$1:$B$4,2,FALSE)</f>
      </c>
      <c r="K236" s="6">
        <f>G236-F236</f>
      </c>
      <c r="L236" s="7" t="s">
        <v>33</v>
      </c>
      <c r="M236" s="6">
        <v>88860</v>
      </c>
      <c r="N236" s="7" t="s">
        <v>34</v>
      </c>
    </row>
    <row x14ac:dyDescent="0.25" r="237" customHeight="1" ht="18.75">
      <c r="A237" s="6">
        <v>236</v>
      </c>
      <c r="B237" s="7" t="s">
        <v>177</v>
      </c>
      <c r="C237" s="6">
        <v>26</v>
      </c>
      <c r="D237" s="7" t="s">
        <v>47</v>
      </c>
      <c r="E237" s="6">
        <v>9</v>
      </c>
      <c r="F237" s="7" t="s">
        <v>596</v>
      </c>
      <c r="G237" s="7" t="s">
        <v>59</v>
      </c>
      <c r="H237" s="6">
        <v>1</v>
      </c>
      <c r="I237" s="8">
        <f>VLOOKUP(E237,diagnosis!$A$1:$B$11,2,FALSE)</f>
      </c>
      <c r="J237" s="8">
        <f>VLOOKUP(H237,outcomes!$A$1:$B$4,2,FALSE)</f>
      </c>
      <c r="K237" s="6">
        <f>G237-F237</f>
      </c>
      <c r="L237" s="7" t="s">
        <v>33</v>
      </c>
      <c r="M237" s="6">
        <v>13835</v>
      </c>
      <c r="N237" s="7" t="s">
        <v>50</v>
      </c>
    </row>
    <row x14ac:dyDescent="0.25" r="238" customHeight="1" ht="18.75">
      <c r="A238" s="6">
        <v>237</v>
      </c>
      <c r="B238" s="7" t="s">
        <v>410</v>
      </c>
      <c r="C238" s="6">
        <v>67</v>
      </c>
      <c r="D238" s="7" t="s">
        <v>47</v>
      </c>
      <c r="E238" s="6">
        <v>3</v>
      </c>
      <c r="F238" s="7" t="s">
        <v>597</v>
      </c>
      <c r="G238" s="7" t="s">
        <v>598</v>
      </c>
      <c r="H238" s="6">
        <v>3</v>
      </c>
      <c r="I238" s="8">
        <f>VLOOKUP(E238,diagnosis!$A$1:$B$11,2,FALSE)</f>
      </c>
      <c r="J238" s="8">
        <f>VLOOKUP(H238,outcomes!$A$1:$B$4,2,FALSE)</f>
      </c>
      <c r="K238" s="6">
        <f>G238-F238</f>
      </c>
      <c r="L238" s="7" t="s">
        <v>33</v>
      </c>
      <c r="M238" s="6">
        <v>49600</v>
      </c>
      <c r="N238" s="7" t="s">
        <v>39</v>
      </c>
    </row>
    <row x14ac:dyDescent="0.25" r="239" customHeight="1" ht="18.75">
      <c r="A239" s="6">
        <v>238</v>
      </c>
      <c r="B239" s="7" t="s">
        <v>599</v>
      </c>
      <c r="C239" s="6">
        <v>51</v>
      </c>
      <c r="D239" s="7" t="s">
        <v>47</v>
      </c>
      <c r="E239" s="6">
        <v>10</v>
      </c>
      <c r="F239" s="7" t="s">
        <v>474</v>
      </c>
      <c r="G239" s="7" t="s">
        <v>600</v>
      </c>
      <c r="H239" s="6">
        <v>2</v>
      </c>
      <c r="I239" s="8">
        <f>VLOOKUP(E239,diagnosis!$A$1:$B$11,2,FALSE)</f>
      </c>
      <c r="J239" s="8">
        <f>VLOOKUP(H239,outcomes!$A$1:$B$4,2,FALSE)</f>
      </c>
      <c r="K239" s="6">
        <f>G239-F239</f>
      </c>
      <c r="L239" s="7" t="s">
        <v>60</v>
      </c>
      <c r="M239" s="6">
        <v>13224</v>
      </c>
      <c r="N239" s="7" t="s">
        <v>34</v>
      </c>
    </row>
    <row x14ac:dyDescent="0.25" r="240" customHeight="1" ht="18.75">
      <c r="A240" s="6">
        <v>239</v>
      </c>
      <c r="B240" s="7" t="s">
        <v>601</v>
      </c>
      <c r="C240" s="6">
        <v>39</v>
      </c>
      <c r="D240" s="7" t="s">
        <v>47</v>
      </c>
      <c r="E240" s="6">
        <v>1</v>
      </c>
      <c r="F240" s="7" t="s">
        <v>602</v>
      </c>
      <c r="G240" s="7" t="s">
        <v>603</v>
      </c>
      <c r="H240" s="6">
        <v>2</v>
      </c>
      <c r="I240" s="8">
        <f>VLOOKUP(E240,diagnosis!$A$1:$B$11,2,FALSE)</f>
      </c>
      <c r="J240" s="8">
        <f>VLOOKUP(H240,outcomes!$A$1:$B$4,2,FALSE)</f>
      </c>
      <c r="K240" s="6">
        <f>G240-F240</f>
      </c>
      <c r="L240" s="7" t="s">
        <v>33</v>
      </c>
      <c r="M240" s="6">
        <v>93214</v>
      </c>
      <c r="N240" s="7" t="s">
        <v>34</v>
      </c>
    </row>
    <row x14ac:dyDescent="0.25" r="241" customHeight="1" ht="18.75">
      <c r="A241" s="6">
        <v>240</v>
      </c>
      <c r="B241" s="7" t="s">
        <v>591</v>
      </c>
      <c r="C241" s="6">
        <v>77</v>
      </c>
      <c r="D241" s="7" t="s">
        <v>47</v>
      </c>
      <c r="E241" s="6">
        <v>5</v>
      </c>
      <c r="F241" s="7" t="s">
        <v>604</v>
      </c>
      <c r="G241" s="7" t="s">
        <v>605</v>
      </c>
      <c r="H241" s="6">
        <v>3</v>
      </c>
      <c r="I241" s="8">
        <f>VLOOKUP(E241,diagnosis!$A$1:$B$11,2,FALSE)</f>
      </c>
      <c r="J241" s="8">
        <f>VLOOKUP(H241,outcomes!$A$1:$B$4,2,FALSE)</f>
      </c>
      <c r="K241" s="6">
        <f>G241-F241</f>
      </c>
      <c r="L241" s="7" t="s">
        <v>33</v>
      </c>
      <c r="M241" s="6">
        <v>3270</v>
      </c>
      <c r="N241" s="7" t="s">
        <v>34</v>
      </c>
    </row>
    <row x14ac:dyDescent="0.25" r="242" customHeight="1" ht="18.75">
      <c r="A242" s="6">
        <v>241</v>
      </c>
      <c r="B242" s="7" t="s">
        <v>606</v>
      </c>
      <c r="C242" s="6">
        <v>62</v>
      </c>
      <c r="D242" s="7" t="s">
        <v>30</v>
      </c>
      <c r="E242" s="6">
        <v>9</v>
      </c>
      <c r="F242" s="7" t="s">
        <v>607</v>
      </c>
      <c r="G242" s="7" t="s">
        <v>110</v>
      </c>
      <c r="H242" s="6">
        <v>3</v>
      </c>
      <c r="I242" s="8">
        <f>VLOOKUP(E242,diagnosis!$A$1:$B$11,2,FALSE)</f>
      </c>
      <c r="J242" s="8">
        <f>VLOOKUP(H242,outcomes!$A$1:$B$4,2,FALSE)</f>
      </c>
      <c r="K242" s="6">
        <f>G242-F242</f>
      </c>
      <c r="L242" s="7" t="s">
        <v>33</v>
      </c>
      <c r="M242" s="6">
        <v>65816</v>
      </c>
      <c r="N242" s="7" t="s">
        <v>50</v>
      </c>
    </row>
    <row x14ac:dyDescent="0.25" r="243" customHeight="1" ht="18.75">
      <c r="A243" s="6">
        <v>242</v>
      </c>
      <c r="B243" s="7" t="s">
        <v>499</v>
      </c>
      <c r="C243" s="6">
        <v>5</v>
      </c>
      <c r="D243" s="7" t="s">
        <v>30</v>
      </c>
      <c r="E243" s="6">
        <v>4</v>
      </c>
      <c r="F243" s="7" t="s">
        <v>608</v>
      </c>
      <c r="G243" s="7" t="s">
        <v>609</v>
      </c>
      <c r="H243" s="6">
        <v>1</v>
      </c>
      <c r="I243" s="8">
        <f>VLOOKUP(E243,diagnosis!$A$1:$B$11,2,FALSE)</f>
      </c>
      <c r="J243" s="8">
        <f>VLOOKUP(H243,outcomes!$A$1:$B$4,2,FALSE)</f>
      </c>
      <c r="K243" s="6">
        <f>G243-F243</f>
      </c>
      <c r="L243" s="7" t="s">
        <v>33</v>
      </c>
      <c r="M243" s="6">
        <v>25912</v>
      </c>
      <c r="N243" s="7" t="s">
        <v>50</v>
      </c>
    </row>
    <row x14ac:dyDescent="0.25" r="244" customHeight="1" ht="18.75">
      <c r="A244" s="6">
        <v>243</v>
      </c>
      <c r="B244" s="7" t="s">
        <v>610</v>
      </c>
      <c r="C244" s="6">
        <v>89</v>
      </c>
      <c r="D244" s="7" t="s">
        <v>30</v>
      </c>
      <c r="E244" s="6">
        <v>7</v>
      </c>
      <c r="F244" s="7" t="s">
        <v>609</v>
      </c>
      <c r="G244" s="7" t="s">
        <v>611</v>
      </c>
      <c r="H244" s="6">
        <v>3</v>
      </c>
      <c r="I244" s="8">
        <f>VLOOKUP(E244,diagnosis!$A$1:$B$11,2,FALSE)</f>
      </c>
      <c r="J244" s="8">
        <f>VLOOKUP(H244,outcomes!$A$1:$B$4,2,FALSE)</f>
      </c>
      <c r="K244" s="6">
        <f>G244-F244</f>
      </c>
      <c r="L244" s="7" t="s">
        <v>33</v>
      </c>
      <c r="M244" s="6">
        <v>29778</v>
      </c>
      <c r="N244" s="7" t="s">
        <v>39</v>
      </c>
    </row>
    <row x14ac:dyDescent="0.25" r="245" customHeight="1" ht="18.75">
      <c r="A245" s="6">
        <v>244</v>
      </c>
      <c r="B245" s="7" t="s">
        <v>612</v>
      </c>
      <c r="C245" s="6">
        <v>27</v>
      </c>
      <c r="D245" s="7" t="s">
        <v>47</v>
      </c>
      <c r="E245" s="6">
        <v>8</v>
      </c>
      <c r="F245" s="7" t="s">
        <v>613</v>
      </c>
      <c r="G245" s="7" t="s">
        <v>614</v>
      </c>
      <c r="H245" s="6">
        <v>3</v>
      </c>
      <c r="I245" s="8">
        <f>VLOOKUP(E245,diagnosis!$A$1:$B$11,2,FALSE)</f>
      </c>
      <c r="J245" s="8">
        <f>VLOOKUP(H245,outcomes!$A$1:$B$4,2,FALSE)</f>
      </c>
      <c r="K245" s="6">
        <f>G245-F245</f>
      </c>
      <c r="L245" s="7" t="s">
        <v>33</v>
      </c>
      <c r="M245" s="6">
        <v>57766</v>
      </c>
      <c r="N245" s="7" t="s">
        <v>34</v>
      </c>
    </row>
    <row x14ac:dyDescent="0.25" r="246" customHeight="1" ht="18.75">
      <c r="A246" s="6">
        <v>245</v>
      </c>
      <c r="B246" s="7" t="s">
        <v>615</v>
      </c>
      <c r="C246" s="6">
        <v>44</v>
      </c>
      <c r="D246" s="7" t="s">
        <v>47</v>
      </c>
      <c r="E246" s="6">
        <v>5</v>
      </c>
      <c r="F246" s="7" t="s">
        <v>123</v>
      </c>
      <c r="G246" s="7" t="s">
        <v>616</v>
      </c>
      <c r="H246" s="6">
        <v>3</v>
      </c>
      <c r="I246" s="8">
        <f>VLOOKUP(E246,diagnosis!$A$1:$B$11,2,FALSE)</f>
      </c>
      <c r="J246" s="8">
        <f>VLOOKUP(H246,outcomes!$A$1:$B$4,2,FALSE)</f>
      </c>
      <c r="K246" s="6">
        <f>G246-F246</f>
      </c>
      <c r="L246" s="7" t="s">
        <v>33</v>
      </c>
      <c r="M246" s="6">
        <v>87210</v>
      </c>
      <c r="N246" s="7" t="s">
        <v>39</v>
      </c>
    </row>
    <row x14ac:dyDescent="0.25" r="247" customHeight="1" ht="18.75">
      <c r="A247" s="6">
        <v>246</v>
      </c>
      <c r="B247" s="7" t="s">
        <v>617</v>
      </c>
      <c r="C247" s="6">
        <v>39</v>
      </c>
      <c r="D247" s="7" t="s">
        <v>30</v>
      </c>
      <c r="E247" s="6">
        <v>5</v>
      </c>
      <c r="F247" s="7" t="s">
        <v>32</v>
      </c>
      <c r="G247" s="7" t="s">
        <v>143</v>
      </c>
      <c r="H247" s="6">
        <v>2</v>
      </c>
      <c r="I247" s="8">
        <f>VLOOKUP(E247,diagnosis!$A$1:$B$11,2,FALSE)</f>
      </c>
      <c r="J247" s="8">
        <f>VLOOKUP(H247,outcomes!$A$1:$B$4,2,FALSE)</f>
      </c>
      <c r="K247" s="6">
        <f>G247-F247</f>
      </c>
      <c r="L247" s="7" t="s">
        <v>33</v>
      </c>
      <c r="M247" s="6">
        <v>46008</v>
      </c>
      <c r="N247" s="7" t="s">
        <v>39</v>
      </c>
    </row>
    <row x14ac:dyDescent="0.25" r="248" customHeight="1" ht="18.75">
      <c r="A248" s="6">
        <v>247</v>
      </c>
      <c r="B248" s="7" t="s">
        <v>618</v>
      </c>
      <c r="C248" s="6">
        <v>45</v>
      </c>
      <c r="D248" s="7" t="s">
        <v>47</v>
      </c>
      <c r="E248" s="6">
        <v>5</v>
      </c>
      <c r="F248" s="7" t="s">
        <v>619</v>
      </c>
      <c r="G248" s="7" t="s">
        <v>420</v>
      </c>
      <c r="H248" s="6">
        <v>1</v>
      </c>
      <c r="I248" s="8">
        <f>VLOOKUP(E248,diagnosis!$A$1:$B$11,2,FALSE)</f>
      </c>
      <c r="J248" s="8">
        <f>VLOOKUP(H248,outcomes!$A$1:$B$4,2,FALSE)</f>
      </c>
      <c r="K248" s="6">
        <f>G248-F248</f>
      </c>
      <c r="L248" s="7" t="s">
        <v>33</v>
      </c>
      <c r="M248" s="6">
        <v>67824</v>
      </c>
      <c r="N248" s="7" t="s">
        <v>50</v>
      </c>
    </row>
    <row x14ac:dyDescent="0.25" r="249" customHeight="1" ht="18.75">
      <c r="A249" s="6">
        <v>248</v>
      </c>
      <c r="B249" s="7" t="s">
        <v>490</v>
      </c>
      <c r="C249" s="6">
        <v>19</v>
      </c>
      <c r="D249" s="7" t="s">
        <v>47</v>
      </c>
      <c r="E249" s="6">
        <v>1</v>
      </c>
      <c r="F249" s="7" t="s">
        <v>620</v>
      </c>
      <c r="G249" s="7" t="s">
        <v>441</v>
      </c>
      <c r="H249" s="6">
        <v>2</v>
      </c>
      <c r="I249" s="8">
        <f>VLOOKUP(E249,diagnosis!$A$1:$B$11,2,FALSE)</f>
      </c>
      <c r="J249" s="8">
        <f>VLOOKUP(H249,outcomes!$A$1:$B$4,2,FALSE)</f>
      </c>
      <c r="K249" s="6">
        <f>G249-F249</f>
      </c>
      <c r="L249" s="7" t="s">
        <v>33</v>
      </c>
      <c r="M249" s="6">
        <v>48756</v>
      </c>
      <c r="N249" s="7" t="s">
        <v>34</v>
      </c>
    </row>
    <row x14ac:dyDescent="0.25" r="250" customHeight="1" ht="18.75">
      <c r="A250" s="6">
        <v>249</v>
      </c>
      <c r="B250" s="7" t="s">
        <v>621</v>
      </c>
      <c r="C250" s="6">
        <v>62</v>
      </c>
      <c r="D250" s="7" t="s">
        <v>30</v>
      </c>
      <c r="E250" s="6">
        <v>4</v>
      </c>
      <c r="F250" s="7" t="s">
        <v>622</v>
      </c>
      <c r="G250" s="7" t="s">
        <v>337</v>
      </c>
      <c r="H250" s="6">
        <v>3</v>
      </c>
      <c r="I250" s="8">
        <f>VLOOKUP(E250,diagnosis!$A$1:$B$11,2,FALSE)</f>
      </c>
      <c r="J250" s="8">
        <f>VLOOKUP(H250,outcomes!$A$1:$B$4,2,FALSE)</f>
      </c>
      <c r="K250" s="6">
        <f>G250-F250</f>
      </c>
      <c r="L250" s="7" t="s">
        <v>33</v>
      </c>
      <c r="M250" s="6">
        <v>28332</v>
      </c>
      <c r="N250" s="7" t="s">
        <v>39</v>
      </c>
    </row>
    <row x14ac:dyDescent="0.25" r="251" customHeight="1" ht="18.75">
      <c r="A251" s="6">
        <v>250</v>
      </c>
      <c r="B251" s="7" t="s">
        <v>623</v>
      </c>
      <c r="C251" s="6">
        <v>79</v>
      </c>
      <c r="D251" s="7" t="s">
        <v>30</v>
      </c>
      <c r="E251" s="6">
        <v>4</v>
      </c>
      <c r="F251" s="7" t="s">
        <v>624</v>
      </c>
      <c r="G251" s="7" t="s">
        <v>71</v>
      </c>
      <c r="H251" s="6">
        <v>1</v>
      </c>
      <c r="I251" s="8">
        <f>VLOOKUP(E251,diagnosis!$A$1:$B$11,2,FALSE)</f>
      </c>
      <c r="J251" s="8">
        <f>VLOOKUP(H251,outcomes!$A$1:$B$4,2,FALSE)</f>
      </c>
      <c r="K251" s="6">
        <f>G251-F251</f>
      </c>
      <c r="L251" s="7" t="s">
        <v>33</v>
      </c>
      <c r="M251" s="6">
        <v>9016</v>
      </c>
      <c r="N251" s="7" t="s">
        <v>34</v>
      </c>
    </row>
    <row x14ac:dyDescent="0.25" r="252" customHeight="1" ht="18.75">
      <c r="A252" s="6">
        <v>251</v>
      </c>
      <c r="B252" s="7" t="s">
        <v>625</v>
      </c>
      <c r="C252" s="6">
        <v>13</v>
      </c>
      <c r="D252" s="7" t="s">
        <v>47</v>
      </c>
      <c r="E252" s="6">
        <v>6</v>
      </c>
      <c r="F252" s="7" t="s">
        <v>626</v>
      </c>
      <c r="G252" s="7" t="s">
        <v>301</v>
      </c>
      <c r="H252" s="6">
        <v>3</v>
      </c>
      <c r="I252" s="8">
        <f>VLOOKUP(E252,diagnosis!$A$1:$B$11,2,FALSE)</f>
      </c>
      <c r="J252" s="8">
        <f>VLOOKUP(H252,outcomes!$A$1:$B$4,2,FALSE)</f>
      </c>
      <c r="K252" s="6">
        <f>G252-F252</f>
      </c>
      <c r="L252" s="7" t="s">
        <v>38</v>
      </c>
      <c r="M252" s="6">
        <v>9610</v>
      </c>
      <c r="N252" s="7" t="s">
        <v>34</v>
      </c>
    </row>
    <row x14ac:dyDescent="0.25" r="253" customHeight="1" ht="18.75">
      <c r="A253" s="6">
        <v>252</v>
      </c>
      <c r="B253" s="7" t="s">
        <v>627</v>
      </c>
      <c r="C253" s="6">
        <v>21</v>
      </c>
      <c r="D253" s="7" t="s">
        <v>47</v>
      </c>
      <c r="E253" s="6">
        <v>8</v>
      </c>
      <c r="F253" s="7" t="s">
        <v>189</v>
      </c>
      <c r="G253" s="7" t="s">
        <v>628</v>
      </c>
      <c r="H253" s="6">
        <v>2</v>
      </c>
      <c r="I253" s="8">
        <f>VLOOKUP(E253,diagnosis!$A$1:$B$11,2,FALSE)</f>
      </c>
      <c r="J253" s="8">
        <f>VLOOKUP(H253,outcomes!$A$1:$B$4,2,FALSE)</f>
      </c>
      <c r="K253" s="6">
        <f>G253-F253</f>
      </c>
      <c r="L253" s="7" t="s">
        <v>33</v>
      </c>
      <c r="M253" s="6">
        <v>53496</v>
      </c>
      <c r="N253" s="7" t="s">
        <v>39</v>
      </c>
    </row>
    <row x14ac:dyDescent="0.25" r="254" customHeight="1" ht="18.75">
      <c r="A254" s="6">
        <v>253</v>
      </c>
      <c r="B254" s="7" t="s">
        <v>95</v>
      </c>
      <c r="C254" s="6">
        <v>83</v>
      </c>
      <c r="D254" s="7" t="s">
        <v>30</v>
      </c>
      <c r="E254" s="6">
        <v>2</v>
      </c>
      <c r="F254" s="7" t="s">
        <v>629</v>
      </c>
      <c r="G254" s="7" t="s">
        <v>342</v>
      </c>
      <c r="H254" s="6">
        <v>3</v>
      </c>
      <c r="I254" s="8">
        <f>VLOOKUP(E254,diagnosis!$A$1:$B$11,2,FALSE)</f>
      </c>
      <c r="J254" s="8">
        <f>VLOOKUP(H254,outcomes!$A$1:$B$4,2,FALSE)</f>
      </c>
      <c r="K254" s="6">
        <f>G254-F254</f>
      </c>
      <c r="L254" s="7" t="s">
        <v>33</v>
      </c>
      <c r="M254" s="6">
        <v>20240</v>
      </c>
      <c r="N254" s="7" t="s">
        <v>50</v>
      </c>
    </row>
    <row x14ac:dyDescent="0.25" r="255" customHeight="1" ht="18.75">
      <c r="A255" s="6">
        <v>254</v>
      </c>
      <c r="B255" s="7" t="s">
        <v>394</v>
      </c>
      <c r="C255" s="6">
        <v>54</v>
      </c>
      <c r="D255" s="7" t="s">
        <v>30</v>
      </c>
      <c r="E255" s="6">
        <v>1</v>
      </c>
      <c r="F255" s="7" t="s">
        <v>630</v>
      </c>
      <c r="G255" s="7" t="s">
        <v>235</v>
      </c>
      <c r="H255" s="6">
        <v>2</v>
      </c>
      <c r="I255" s="8">
        <f>VLOOKUP(E255,diagnosis!$A$1:$B$11,2,FALSE)</f>
      </c>
      <c r="J255" s="8">
        <f>VLOOKUP(H255,outcomes!$A$1:$B$4,2,FALSE)</f>
      </c>
      <c r="K255" s="6">
        <f>G255-F255</f>
      </c>
      <c r="L255" s="7" t="s">
        <v>60</v>
      </c>
      <c r="M255" s="6">
        <v>19236</v>
      </c>
      <c r="N255" s="7" t="s">
        <v>34</v>
      </c>
    </row>
    <row x14ac:dyDescent="0.25" r="256" customHeight="1" ht="18.75">
      <c r="A256" s="6">
        <v>255</v>
      </c>
      <c r="B256" s="7" t="s">
        <v>631</v>
      </c>
      <c r="C256" s="6">
        <v>39</v>
      </c>
      <c r="D256" s="7" t="s">
        <v>30</v>
      </c>
      <c r="E256" s="6">
        <v>6</v>
      </c>
      <c r="F256" s="7" t="s">
        <v>630</v>
      </c>
      <c r="G256" s="7" t="s">
        <v>632</v>
      </c>
      <c r="H256" s="6">
        <v>2</v>
      </c>
      <c r="I256" s="8">
        <f>VLOOKUP(E256,diagnosis!$A$1:$B$11,2,FALSE)</f>
      </c>
      <c r="J256" s="8">
        <f>VLOOKUP(H256,outcomes!$A$1:$B$4,2,FALSE)</f>
      </c>
      <c r="K256" s="6">
        <f>G256-F256</f>
      </c>
      <c r="L256" s="7" t="s">
        <v>60</v>
      </c>
      <c r="M256" s="6">
        <v>2910</v>
      </c>
      <c r="N256" s="7" t="s">
        <v>39</v>
      </c>
    </row>
    <row x14ac:dyDescent="0.25" r="257" customHeight="1" ht="18.75">
      <c r="A257" s="6">
        <v>256</v>
      </c>
      <c r="B257" s="7" t="s">
        <v>633</v>
      </c>
      <c r="C257" s="6">
        <v>65</v>
      </c>
      <c r="D257" s="7" t="s">
        <v>47</v>
      </c>
      <c r="E257" s="6">
        <v>5</v>
      </c>
      <c r="F257" s="7" t="s">
        <v>471</v>
      </c>
      <c r="G257" s="7" t="s">
        <v>634</v>
      </c>
      <c r="H257" s="6">
        <v>1</v>
      </c>
      <c r="I257" s="8">
        <f>VLOOKUP(E257,diagnosis!$A$1:$B$11,2,FALSE)</f>
      </c>
      <c r="J257" s="8">
        <f>VLOOKUP(H257,outcomes!$A$1:$B$4,2,FALSE)</f>
      </c>
      <c r="K257" s="6">
        <f>G257-F257</f>
      </c>
      <c r="L257" s="7" t="s">
        <v>33</v>
      </c>
      <c r="M257" s="6">
        <v>13780</v>
      </c>
      <c r="N257" s="7" t="s">
        <v>34</v>
      </c>
    </row>
    <row x14ac:dyDescent="0.25" r="258" customHeight="1" ht="18.75">
      <c r="A258" s="6">
        <v>257</v>
      </c>
      <c r="B258" s="7" t="s">
        <v>615</v>
      </c>
      <c r="C258" s="6">
        <v>24</v>
      </c>
      <c r="D258" s="7" t="s">
        <v>30</v>
      </c>
      <c r="E258" s="6">
        <v>6</v>
      </c>
      <c r="F258" s="7" t="s">
        <v>417</v>
      </c>
      <c r="G258" s="7" t="s">
        <v>635</v>
      </c>
      <c r="H258" s="6">
        <v>2</v>
      </c>
      <c r="I258" s="8">
        <f>VLOOKUP(E258,diagnosis!$A$1:$B$11,2,FALSE)</f>
      </c>
      <c r="J258" s="8">
        <f>VLOOKUP(H258,outcomes!$A$1:$B$4,2,FALSE)</f>
      </c>
      <c r="K258" s="6">
        <f>G258-F258</f>
      </c>
      <c r="L258" s="7" t="s">
        <v>33</v>
      </c>
      <c r="M258" s="6">
        <v>35478</v>
      </c>
      <c r="N258" s="7" t="s">
        <v>34</v>
      </c>
    </row>
    <row x14ac:dyDescent="0.25" r="259" customHeight="1" ht="18.75">
      <c r="A259" s="6">
        <v>258</v>
      </c>
      <c r="B259" s="7" t="s">
        <v>636</v>
      </c>
      <c r="C259" s="6">
        <v>66</v>
      </c>
      <c r="D259" s="7" t="s">
        <v>47</v>
      </c>
      <c r="E259" s="6">
        <v>2</v>
      </c>
      <c r="F259" s="7" t="s">
        <v>424</v>
      </c>
      <c r="G259" s="7" t="s">
        <v>637</v>
      </c>
      <c r="H259" s="6">
        <v>2</v>
      </c>
      <c r="I259" s="8">
        <f>VLOOKUP(E259,diagnosis!$A$1:$B$11,2,FALSE)</f>
      </c>
      <c r="J259" s="8">
        <f>VLOOKUP(H259,outcomes!$A$1:$B$4,2,FALSE)</f>
      </c>
      <c r="K259" s="6">
        <f>G259-F259</f>
      </c>
      <c r="L259" s="7" t="s">
        <v>33</v>
      </c>
      <c r="M259" s="6">
        <v>29806</v>
      </c>
      <c r="N259" s="7" t="s">
        <v>50</v>
      </c>
    </row>
    <row x14ac:dyDescent="0.25" r="260" customHeight="1" ht="18.75">
      <c r="A260" s="6">
        <v>259</v>
      </c>
      <c r="B260" s="7" t="s">
        <v>638</v>
      </c>
      <c r="C260" s="6">
        <v>42</v>
      </c>
      <c r="D260" s="7" t="s">
        <v>30</v>
      </c>
      <c r="E260" s="6">
        <v>1</v>
      </c>
      <c r="F260" s="7" t="s">
        <v>113</v>
      </c>
      <c r="G260" s="7" t="s">
        <v>159</v>
      </c>
      <c r="H260" s="6">
        <v>2</v>
      </c>
      <c r="I260" s="8">
        <f>VLOOKUP(E260,diagnosis!$A$1:$B$11,2,FALSE)</f>
      </c>
      <c r="J260" s="8">
        <f>VLOOKUP(H260,outcomes!$A$1:$B$4,2,FALSE)</f>
      </c>
      <c r="K260" s="6">
        <f>G260-F260</f>
      </c>
      <c r="L260" s="7" t="s">
        <v>33</v>
      </c>
      <c r="M260" s="6">
        <v>61088</v>
      </c>
      <c r="N260" s="7" t="s">
        <v>34</v>
      </c>
    </row>
    <row x14ac:dyDescent="0.25" r="261" customHeight="1" ht="18.75">
      <c r="A261" s="6">
        <v>260</v>
      </c>
      <c r="B261" s="7" t="s">
        <v>360</v>
      </c>
      <c r="C261" s="6">
        <v>39</v>
      </c>
      <c r="D261" s="7" t="s">
        <v>30</v>
      </c>
      <c r="E261" s="6">
        <v>5</v>
      </c>
      <c r="F261" s="7" t="s">
        <v>639</v>
      </c>
      <c r="G261" s="7" t="s">
        <v>148</v>
      </c>
      <c r="H261" s="6">
        <v>3</v>
      </c>
      <c r="I261" s="8">
        <f>VLOOKUP(E261,diagnosis!$A$1:$B$11,2,FALSE)</f>
      </c>
      <c r="J261" s="8">
        <f>VLOOKUP(H261,outcomes!$A$1:$B$4,2,FALSE)</f>
      </c>
      <c r="K261" s="6">
        <f>G261-F261</f>
      </c>
      <c r="L261" s="7" t="s">
        <v>33</v>
      </c>
      <c r="M261" s="6">
        <v>40733</v>
      </c>
      <c r="N261" s="7" t="s">
        <v>50</v>
      </c>
    </row>
    <row x14ac:dyDescent="0.25" r="262" customHeight="1" ht="18.75">
      <c r="A262" s="6">
        <v>261</v>
      </c>
      <c r="B262" s="7" t="s">
        <v>640</v>
      </c>
      <c r="C262" s="6">
        <v>40</v>
      </c>
      <c r="D262" s="7" t="s">
        <v>30</v>
      </c>
      <c r="E262" s="6">
        <v>7</v>
      </c>
      <c r="F262" s="7" t="s">
        <v>641</v>
      </c>
      <c r="G262" s="7" t="s">
        <v>642</v>
      </c>
      <c r="H262" s="6">
        <v>3</v>
      </c>
      <c r="I262" s="8">
        <f>VLOOKUP(E262,diagnosis!$A$1:$B$11,2,FALSE)</f>
      </c>
      <c r="J262" s="8">
        <f>VLOOKUP(H262,outcomes!$A$1:$B$4,2,FALSE)</f>
      </c>
      <c r="K262" s="6">
        <f>G262-F262</f>
      </c>
      <c r="L262" s="7" t="s">
        <v>33</v>
      </c>
      <c r="M262" s="6">
        <v>60135</v>
      </c>
      <c r="N262" s="7" t="s">
        <v>34</v>
      </c>
    </row>
    <row x14ac:dyDescent="0.25" r="263" customHeight="1" ht="18.75">
      <c r="A263" s="6">
        <v>262</v>
      </c>
      <c r="B263" s="7" t="s">
        <v>643</v>
      </c>
      <c r="C263" s="6">
        <v>79</v>
      </c>
      <c r="D263" s="7" t="s">
        <v>30</v>
      </c>
      <c r="E263" s="6">
        <v>4</v>
      </c>
      <c r="F263" s="7" t="s">
        <v>644</v>
      </c>
      <c r="G263" s="7" t="s">
        <v>645</v>
      </c>
      <c r="H263" s="6">
        <v>1</v>
      </c>
      <c r="I263" s="8">
        <f>VLOOKUP(E263,diagnosis!$A$1:$B$11,2,FALSE)</f>
      </c>
      <c r="J263" s="8">
        <f>VLOOKUP(H263,outcomes!$A$1:$B$4,2,FALSE)</f>
      </c>
      <c r="K263" s="6">
        <f>G263-F263</f>
      </c>
      <c r="L263" s="7" t="s">
        <v>33</v>
      </c>
      <c r="M263" s="6">
        <v>37980</v>
      </c>
      <c r="N263" s="7" t="s">
        <v>39</v>
      </c>
    </row>
    <row x14ac:dyDescent="0.25" r="264" customHeight="1" ht="18.75">
      <c r="A264" s="6">
        <v>263</v>
      </c>
      <c r="B264" s="7" t="s">
        <v>646</v>
      </c>
      <c r="C264" s="6">
        <v>90</v>
      </c>
      <c r="D264" s="7" t="s">
        <v>47</v>
      </c>
      <c r="E264" s="6">
        <v>9</v>
      </c>
      <c r="F264" s="7" t="s">
        <v>479</v>
      </c>
      <c r="G264" s="7" t="s">
        <v>217</v>
      </c>
      <c r="H264" s="6">
        <v>3</v>
      </c>
      <c r="I264" s="8">
        <f>VLOOKUP(E264,diagnosis!$A$1:$B$11,2,FALSE)</f>
      </c>
      <c r="J264" s="8">
        <f>VLOOKUP(H264,outcomes!$A$1:$B$4,2,FALSE)</f>
      </c>
      <c r="K264" s="6">
        <f>G264-F264</f>
      </c>
      <c r="L264" s="7" t="s">
        <v>33</v>
      </c>
      <c r="M264" s="6">
        <v>38892</v>
      </c>
      <c r="N264" s="7" t="s">
        <v>50</v>
      </c>
    </row>
    <row x14ac:dyDescent="0.25" r="265" customHeight="1" ht="18.75">
      <c r="A265" s="6">
        <v>264</v>
      </c>
      <c r="B265" s="7" t="s">
        <v>647</v>
      </c>
      <c r="C265" s="6">
        <v>58</v>
      </c>
      <c r="D265" s="7" t="s">
        <v>47</v>
      </c>
      <c r="E265" s="6">
        <v>2</v>
      </c>
      <c r="F265" s="7" t="s">
        <v>648</v>
      </c>
      <c r="G265" s="7" t="s">
        <v>649</v>
      </c>
      <c r="H265" s="6">
        <v>3</v>
      </c>
      <c r="I265" s="8">
        <f>VLOOKUP(E265,diagnosis!$A$1:$B$11,2,FALSE)</f>
      </c>
      <c r="J265" s="8">
        <f>VLOOKUP(H265,outcomes!$A$1:$B$4,2,FALSE)</f>
      </c>
      <c r="K265" s="6">
        <f>G265-F265</f>
      </c>
      <c r="L265" s="7" t="s">
        <v>33</v>
      </c>
      <c r="M265" s="6">
        <v>78506</v>
      </c>
      <c r="N265" s="7" t="s">
        <v>50</v>
      </c>
    </row>
    <row x14ac:dyDescent="0.25" r="266" customHeight="1" ht="18.75">
      <c r="A266" s="6">
        <v>265</v>
      </c>
      <c r="B266" s="7" t="s">
        <v>650</v>
      </c>
      <c r="C266" s="6">
        <v>74</v>
      </c>
      <c r="D266" s="7" t="s">
        <v>30</v>
      </c>
      <c r="E266" s="6">
        <v>3</v>
      </c>
      <c r="F266" s="7" t="s">
        <v>651</v>
      </c>
      <c r="G266" s="7" t="s">
        <v>329</v>
      </c>
      <c r="H266" s="6">
        <v>2</v>
      </c>
      <c r="I266" s="8">
        <f>VLOOKUP(E266,diagnosis!$A$1:$B$11,2,FALSE)</f>
      </c>
      <c r="J266" s="8">
        <f>VLOOKUP(H266,outcomes!$A$1:$B$4,2,FALSE)</f>
      </c>
      <c r="K266" s="6">
        <f>G266-F266</f>
      </c>
      <c r="L266" s="7" t="s">
        <v>33</v>
      </c>
      <c r="M266" s="6">
        <v>31794</v>
      </c>
      <c r="N266" s="7" t="s">
        <v>39</v>
      </c>
    </row>
    <row x14ac:dyDescent="0.25" r="267" customHeight="1" ht="18.75">
      <c r="A267" s="6">
        <v>266</v>
      </c>
      <c r="B267" s="7" t="s">
        <v>652</v>
      </c>
      <c r="C267" s="6">
        <v>63</v>
      </c>
      <c r="D267" s="7" t="s">
        <v>30</v>
      </c>
      <c r="E267" s="6">
        <v>9</v>
      </c>
      <c r="F267" s="7" t="s">
        <v>366</v>
      </c>
      <c r="G267" s="7" t="s">
        <v>653</v>
      </c>
      <c r="H267" s="6">
        <v>2</v>
      </c>
      <c r="I267" s="8">
        <f>VLOOKUP(E267,diagnosis!$A$1:$B$11,2,FALSE)</f>
      </c>
      <c r="J267" s="8">
        <f>VLOOKUP(H267,outcomes!$A$1:$B$4,2,FALSE)</f>
      </c>
      <c r="K267" s="6">
        <f>G267-F267</f>
      </c>
      <c r="L267" s="7" t="s">
        <v>33</v>
      </c>
      <c r="M267" s="6">
        <v>50616</v>
      </c>
      <c r="N267" s="7" t="s">
        <v>39</v>
      </c>
    </row>
    <row x14ac:dyDescent="0.25" r="268" customHeight="1" ht="18.75">
      <c r="A268" s="6">
        <v>267</v>
      </c>
      <c r="B268" s="7" t="s">
        <v>654</v>
      </c>
      <c r="C268" s="6">
        <v>59</v>
      </c>
      <c r="D268" s="7" t="s">
        <v>30</v>
      </c>
      <c r="E268" s="6">
        <v>9</v>
      </c>
      <c r="F268" s="7" t="s">
        <v>330</v>
      </c>
      <c r="G268" s="7" t="s">
        <v>655</v>
      </c>
      <c r="H268" s="6">
        <v>2</v>
      </c>
      <c r="I268" s="8">
        <f>VLOOKUP(E268,diagnosis!$A$1:$B$11,2,FALSE)</f>
      </c>
      <c r="J268" s="8">
        <f>VLOOKUP(H268,outcomes!$A$1:$B$4,2,FALSE)</f>
      </c>
      <c r="K268" s="6">
        <f>G268-F268</f>
      </c>
      <c r="L268" s="7" t="s">
        <v>33</v>
      </c>
      <c r="M268" s="6">
        <v>39564</v>
      </c>
      <c r="N268" s="7" t="s">
        <v>34</v>
      </c>
    </row>
    <row x14ac:dyDescent="0.25" r="269" customHeight="1" ht="18.75">
      <c r="A269" s="6">
        <v>268</v>
      </c>
      <c r="B269" s="7" t="s">
        <v>656</v>
      </c>
      <c r="C269" s="6">
        <v>1</v>
      </c>
      <c r="D269" s="7" t="s">
        <v>30</v>
      </c>
      <c r="E269" s="6">
        <v>10</v>
      </c>
      <c r="F269" s="7" t="s">
        <v>657</v>
      </c>
      <c r="G269" s="7" t="s">
        <v>245</v>
      </c>
      <c r="H269" s="6">
        <v>1</v>
      </c>
      <c r="I269" s="8">
        <f>VLOOKUP(E269,diagnosis!$A$1:$B$11,2,FALSE)</f>
      </c>
      <c r="J269" s="8">
        <f>VLOOKUP(H269,outcomes!$A$1:$B$4,2,FALSE)</f>
      </c>
      <c r="K269" s="6">
        <f>G269-F269</f>
      </c>
      <c r="L269" s="7" t="s">
        <v>33</v>
      </c>
      <c r="M269" s="6">
        <v>26307</v>
      </c>
      <c r="N269" s="7" t="s">
        <v>34</v>
      </c>
    </row>
    <row x14ac:dyDescent="0.25" r="270" customHeight="1" ht="18.75">
      <c r="A270" s="6">
        <v>269</v>
      </c>
      <c r="B270" s="7" t="s">
        <v>658</v>
      </c>
      <c r="C270" s="6">
        <v>8</v>
      </c>
      <c r="D270" s="7" t="s">
        <v>30</v>
      </c>
      <c r="E270" s="6">
        <v>8</v>
      </c>
      <c r="F270" s="7" t="s">
        <v>659</v>
      </c>
      <c r="G270" s="7" t="s">
        <v>660</v>
      </c>
      <c r="H270" s="6">
        <v>1</v>
      </c>
      <c r="I270" s="8">
        <f>VLOOKUP(E270,diagnosis!$A$1:$B$11,2,FALSE)</f>
      </c>
      <c r="J270" s="8">
        <f>VLOOKUP(H270,outcomes!$A$1:$B$4,2,FALSE)</f>
      </c>
      <c r="K270" s="6">
        <f>G270-F270</f>
      </c>
      <c r="L270" s="7" t="s">
        <v>33</v>
      </c>
      <c r="M270" s="6">
        <v>68364</v>
      </c>
      <c r="N270" s="7" t="s">
        <v>34</v>
      </c>
    </row>
    <row x14ac:dyDescent="0.25" r="271" customHeight="1" ht="18.75">
      <c r="A271" s="6">
        <v>270</v>
      </c>
      <c r="B271" s="7" t="s">
        <v>81</v>
      </c>
      <c r="C271" s="6">
        <v>48</v>
      </c>
      <c r="D271" s="7" t="s">
        <v>47</v>
      </c>
      <c r="E271" s="6">
        <v>8</v>
      </c>
      <c r="F271" s="7" t="s">
        <v>395</v>
      </c>
      <c r="G271" s="7" t="s">
        <v>661</v>
      </c>
      <c r="H271" s="6">
        <v>2</v>
      </c>
      <c r="I271" s="8">
        <f>VLOOKUP(E271,diagnosis!$A$1:$B$11,2,FALSE)</f>
      </c>
      <c r="J271" s="8">
        <f>VLOOKUP(H271,outcomes!$A$1:$B$4,2,FALSE)</f>
      </c>
      <c r="K271" s="6">
        <f>G271-F271</f>
      </c>
      <c r="L271" s="7" t="s">
        <v>33</v>
      </c>
      <c r="M271" s="6">
        <v>63938</v>
      </c>
      <c r="N271" s="7" t="s">
        <v>50</v>
      </c>
    </row>
    <row x14ac:dyDescent="0.25" r="272" customHeight="1" ht="18.75">
      <c r="A272" s="6">
        <v>271</v>
      </c>
      <c r="B272" s="7" t="s">
        <v>402</v>
      </c>
      <c r="C272" s="6">
        <v>16</v>
      </c>
      <c r="D272" s="7" t="s">
        <v>30</v>
      </c>
      <c r="E272" s="6">
        <v>9</v>
      </c>
      <c r="F272" s="7" t="s">
        <v>377</v>
      </c>
      <c r="G272" s="7" t="s">
        <v>374</v>
      </c>
      <c r="H272" s="6">
        <v>2</v>
      </c>
      <c r="I272" s="8">
        <f>VLOOKUP(E272,diagnosis!$A$1:$B$11,2,FALSE)</f>
      </c>
      <c r="J272" s="8">
        <f>VLOOKUP(H272,outcomes!$A$1:$B$4,2,FALSE)</f>
      </c>
      <c r="K272" s="6">
        <f>G272-F272</f>
      </c>
      <c r="L272" s="7" t="s">
        <v>33</v>
      </c>
      <c r="M272" s="6">
        <v>33348</v>
      </c>
      <c r="N272" s="7" t="s">
        <v>50</v>
      </c>
    </row>
    <row x14ac:dyDescent="0.25" r="273" customHeight="1" ht="18.75">
      <c r="A273" s="6">
        <v>272</v>
      </c>
      <c r="B273" s="7" t="s">
        <v>211</v>
      </c>
      <c r="C273" s="6">
        <v>39</v>
      </c>
      <c r="D273" s="7" t="s">
        <v>47</v>
      </c>
      <c r="E273" s="6">
        <v>9</v>
      </c>
      <c r="F273" s="7" t="s">
        <v>662</v>
      </c>
      <c r="G273" s="7" t="s">
        <v>663</v>
      </c>
      <c r="H273" s="6">
        <v>2</v>
      </c>
      <c r="I273" s="8">
        <f>VLOOKUP(E273,diagnosis!$A$1:$B$11,2,FALSE)</f>
      </c>
      <c r="J273" s="8">
        <f>VLOOKUP(H273,outcomes!$A$1:$B$4,2,FALSE)</f>
      </c>
      <c r="K273" s="6">
        <f>G273-F273</f>
      </c>
      <c r="L273" s="7" t="s">
        <v>60</v>
      </c>
      <c r="M273" s="6">
        <v>2967</v>
      </c>
      <c r="N273" s="7" t="s">
        <v>50</v>
      </c>
    </row>
    <row x14ac:dyDescent="0.25" r="274" customHeight="1" ht="18.75">
      <c r="A274" s="6">
        <v>273</v>
      </c>
      <c r="B274" s="7" t="s">
        <v>664</v>
      </c>
      <c r="C274" s="6">
        <v>45</v>
      </c>
      <c r="D274" s="7" t="s">
        <v>30</v>
      </c>
      <c r="E274" s="6">
        <v>5</v>
      </c>
      <c r="F274" s="7" t="s">
        <v>207</v>
      </c>
      <c r="G274" s="7" t="s">
        <v>665</v>
      </c>
      <c r="H274" s="6">
        <v>1</v>
      </c>
      <c r="I274" s="8">
        <f>VLOOKUP(E274,diagnosis!$A$1:$B$11,2,FALSE)</f>
      </c>
      <c r="J274" s="8">
        <f>VLOOKUP(H274,outcomes!$A$1:$B$4,2,FALSE)</f>
      </c>
      <c r="K274" s="6">
        <f>G274-F274</f>
      </c>
      <c r="L274" s="7" t="s">
        <v>33</v>
      </c>
      <c r="M274" s="6">
        <v>74700</v>
      </c>
      <c r="N274" s="7" t="s">
        <v>34</v>
      </c>
    </row>
    <row x14ac:dyDescent="0.25" r="275" customHeight="1" ht="18.75">
      <c r="A275" s="6">
        <v>274</v>
      </c>
      <c r="B275" s="7" t="s">
        <v>666</v>
      </c>
      <c r="C275" s="6">
        <v>3</v>
      </c>
      <c r="D275" s="7" t="s">
        <v>30</v>
      </c>
      <c r="E275" s="6">
        <v>4</v>
      </c>
      <c r="F275" s="7" t="s">
        <v>667</v>
      </c>
      <c r="G275" s="7" t="s">
        <v>544</v>
      </c>
      <c r="H275" s="6">
        <v>1</v>
      </c>
      <c r="I275" s="8">
        <f>VLOOKUP(E275,diagnosis!$A$1:$B$11,2,FALSE)</f>
      </c>
      <c r="J275" s="8">
        <f>VLOOKUP(H275,outcomes!$A$1:$B$4,2,FALSE)</f>
      </c>
      <c r="K275" s="6">
        <f>G275-F275</f>
      </c>
      <c r="L275" s="7" t="s">
        <v>33</v>
      </c>
      <c r="M275" s="6">
        <v>55400</v>
      </c>
      <c r="N275" s="7" t="s">
        <v>34</v>
      </c>
    </row>
    <row x14ac:dyDescent="0.25" r="276" customHeight="1" ht="18.75">
      <c r="A276" s="6">
        <v>275</v>
      </c>
      <c r="B276" s="7" t="s">
        <v>668</v>
      </c>
      <c r="C276" s="6">
        <v>87</v>
      </c>
      <c r="D276" s="7" t="s">
        <v>30</v>
      </c>
      <c r="E276" s="6">
        <v>4</v>
      </c>
      <c r="F276" s="7" t="s">
        <v>337</v>
      </c>
      <c r="G276" s="7" t="s">
        <v>669</v>
      </c>
      <c r="H276" s="6">
        <v>3</v>
      </c>
      <c r="I276" s="8">
        <f>VLOOKUP(E276,diagnosis!$A$1:$B$11,2,FALSE)</f>
      </c>
      <c r="J276" s="8">
        <f>VLOOKUP(H276,outcomes!$A$1:$B$4,2,FALSE)</f>
      </c>
      <c r="K276" s="6">
        <f>G276-F276</f>
      </c>
      <c r="L276" s="7" t="s">
        <v>33</v>
      </c>
      <c r="M276" s="6">
        <v>86700</v>
      </c>
      <c r="N276" s="7" t="s">
        <v>34</v>
      </c>
    </row>
    <row x14ac:dyDescent="0.25" r="277" customHeight="1" ht="18.75">
      <c r="A277" s="6">
        <v>276</v>
      </c>
      <c r="B277" s="7" t="s">
        <v>339</v>
      </c>
      <c r="C277" s="6">
        <v>28</v>
      </c>
      <c r="D277" s="7" t="s">
        <v>30</v>
      </c>
      <c r="E277" s="6">
        <v>3</v>
      </c>
      <c r="F277" s="7" t="s">
        <v>670</v>
      </c>
      <c r="G277" s="7" t="s">
        <v>296</v>
      </c>
      <c r="H277" s="6">
        <v>3</v>
      </c>
      <c r="I277" s="8">
        <f>VLOOKUP(E277,diagnosis!$A$1:$B$11,2,FALSE)</f>
      </c>
      <c r="J277" s="8">
        <f>VLOOKUP(H277,outcomes!$A$1:$B$4,2,FALSE)</f>
      </c>
      <c r="K277" s="6">
        <f>G277-F277</f>
      </c>
      <c r="L277" s="7" t="s">
        <v>33</v>
      </c>
      <c r="M277" s="6">
        <v>63234</v>
      </c>
      <c r="N277" s="7" t="s">
        <v>39</v>
      </c>
    </row>
    <row x14ac:dyDescent="0.25" r="278" customHeight="1" ht="18.75">
      <c r="A278" s="6">
        <v>277</v>
      </c>
      <c r="B278" s="7" t="s">
        <v>89</v>
      </c>
      <c r="C278" s="6">
        <v>77</v>
      </c>
      <c r="D278" s="7" t="s">
        <v>47</v>
      </c>
      <c r="E278" s="6">
        <v>4</v>
      </c>
      <c r="F278" s="7" t="s">
        <v>578</v>
      </c>
      <c r="G278" s="7" t="s">
        <v>349</v>
      </c>
      <c r="H278" s="6">
        <v>2</v>
      </c>
      <c r="I278" s="8">
        <f>VLOOKUP(E278,diagnosis!$A$1:$B$11,2,FALSE)</f>
      </c>
      <c r="J278" s="8">
        <f>VLOOKUP(H278,outcomes!$A$1:$B$4,2,FALSE)</f>
      </c>
      <c r="K278" s="6">
        <f>G278-F278</f>
      </c>
      <c r="L278" s="7" t="s">
        <v>33</v>
      </c>
      <c r="M278" s="6">
        <v>79971</v>
      </c>
      <c r="N278" s="7" t="s">
        <v>39</v>
      </c>
    </row>
    <row x14ac:dyDescent="0.25" r="279" customHeight="1" ht="18.75">
      <c r="A279" s="6">
        <v>278</v>
      </c>
      <c r="B279" s="7" t="s">
        <v>625</v>
      </c>
      <c r="C279" s="6">
        <v>36</v>
      </c>
      <c r="D279" s="7" t="s">
        <v>30</v>
      </c>
      <c r="E279" s="6">
        <v>9</v>
      </c>
      <c r="F279" s="7" t="s">
        <v>320</v>
      </c>
      <c r="G279" s="7" t="s">
        <v>671</v>
      </c>
      <c r="H279" s="6">
        <v>3</v>
      </c>
      <c r="I279" s="8">
        <f>VLOOKUP(E279,diagnosis!$A$1:$B$11,2,FALSE)</f>
      </c>
      <c r="J279" s="8">
        <f>VLOOKUP(H279,outcomes!$A$1:$B$4,2,FALSE)</f>
      </c>
      <c r="K279" s="6">
        <f>G279-F279</f>
      </c>
      <c r="L279" s="7" t="s">
        <v>33</v>
      </c>
      <c r="M279" s="6">
        <v>31460</v>
      </c>
      <c r="N279" s="7" t="s">
        <v>34</v>
      </c>
    </row>
    <row x14ac:dyDescent="0.25" r="280" customHeight="1" ht="18.75">
      <c r="A280" s="6">
        <v>279</v>
      </c>
      <c r="B280" s="7" t="s">
        <v>672</v>
      </c>
      <c r="C280" s="6">
        <v>45</v>
      </c>
      <c r="D280" s="7" t="s">
        <v>47</v>
      </c>
      <c r="E280" s="6">
        <v>9</v>
      </c>
      <c r="F280" s="7" t="s">
        <v>673</v>
      </c>
      <c r="G280" s="7" t="s">
        <v>371</v>
      </c>
      <c r="H280" s="6">
        <v>2</v>
      </c>
      <c r="I280" s="8">
        <f>VLOOKUP(E280,diagnosis!$A$1:$B$11,2,FALSE)</f>
      </c>
      <c r="J280" s="8">
        <f>VLOOKUP(H280,outcomes!$A$1:$B$4,2,FALSE)</f>
      </c>
      <c r="K280" s="6">
        <f>G280-F280</f>
      </c>
      <c r="L280" s="7" t="s">
        <v>60</v>
      </c>
      <c r="M280" s="6">
        <v>8736</v>
      </c>
      <c r="N280" s="7" t="s">
        <v>50</v>
      </c>
    </row>
    <row x14ac:dyDescent="0.25" r="281" customHeight="1" ht="18.75">
      <c r="A281" s="6">
        <v>280</v>
      </c>
      <c r="B281" s="7" t="s">
        <v>674</v>
      </c>
      <c r="C281" s="6">
        <v>49</v>
      </c>
      <c r="D281" s="7" t="s">
        <v>30</v>
      </c>
      <c r="E281" s="6">
        <v>9</v>
      </c>
      <c r="F281" s="7" t="s">
        <v>675</v>
      </c>
      <c r="G281" s="7" t="s">
        <v>500</v>
      </c>
      <c r="H281" s="6">
        <v>2</v>
      </c>
      <c r="I281" s="8">
        <f>VLOOKUP(E281,diagnosis!$A$1:$B$11,2,FALSE)</f>
      </c>
      <c r="J281" s="8">
        <f>VLOOKUP(H281,outcomes!$A$1:$B$4,2,FALSE)</f>
      </c>
      <c r="K281" s="6">
        <f>G281-F281</f>
      </c>
      <c r="L281" s="7" t="s">
        <v>33</v>
      </c>
      <c r="M281" s="6">
        <v>48030</v>
      </c>
      <c r="N281" s="7" t="s">
        <v>50</v>
      </c>
    </row>
    <row x14ac:dyDescent="0.25" r="282" customHeight="1" ht="18.75">
      <c r="A282" s="6">
        <v>281</v>
      </c>
      <c r="B282" s="7" t="s">
        <v>676</v>
      </c>
      <c r="C282" s="6">
        <v>8</v>
      </c>
      <c r="D282" s="7" t="s">
        <v>47</v>
      </c>
      <c r="E282" s="6">
        <v>7</v>
      </c>
      <c r="F282" s="7" t="s">
        <v>677</v>
      </c>
      <c r="G282" s="7" t="s">
        <v>609</v>
      </c>
      <c r="H282" s="6">
        <v>3</v>
      </c>
      <c r="I282" s="8">
        <f>VLOOKUP(E282,diagnosis!$A$1:$B$11,2,FALSE)</f>
      </c>
      <c r="J282" s="8">
        <f>VLOOKUP(H282,outcomes!$A$1:$B$4,2,FALSE)</f>
      </c>
      <c r="K282" s="6">
        <f>G282-F282</f>
      </c>
      <c r="L282" s="7" t="s">
        <v>33</v>
      </c>
      <c r="M282" s="6">
        <v>71265</v>
      </c>
      <c r="N282" s="7" t="s">
        <v>50</v>
      </c>
    </row>
    <row x14ac:dyDescent="0.25" r="283" customHeight="1" ht="18.75">
      <c r="A283" s="6">
        <v>282</v>
      </c>
      <c r="B283" s="7" t="s">
        <v>678</v>
      </c>
      <c r="C283" s="6">
        <v>27</v>
      </c>
      <c r="D283" s="7" t="s">
        <v>47</v>
      </c>
      <c r="E283" s="6">
        <v>2</v>
      </c>
      <c r="F283" s="7" t="s">
        <v>296</v>
      </c>
      <c r="G283" s="7" t="s">
        <v>207</v>
      </c>
      <c r="H283" s="6">
        <v>2</v>
      </c>
      <c r="I283" s="8">
        <f>VLOOKUP(E283,diagnosis!$A$1:$B$11,2,FALSE)</f>
      </c>
      <c r="J283" s="8">
        <f>VLOOKUP(H283,outcomes!$A$1:$B$4,2,FALSE)</f>
      </c>
      <c r="K283" s="6">
        <f>G283-F283</f>
      </c>
      <c r="L283" s="7" t="s">
        <v>33</v>
      </c>
      <c r="M283" s="6">
        <v>44784</v>
      </c>
      <c r="N283" s="7" t="s">
        <v>50</v>
      </c>
    </row>
    <row x14ac:dyDescent="0.25" r="284" customHeight="1" ht="18.75">
      <c r="A284" s="6">
        <v>283</v>
      </c>
      <c r="B284" s="7" t="s">
        <v>402</v>
      </c>
      <c r="C284" s="6">
        <v>35</v>
      </c>
      <c r="D284" s="7" t="s">
        <v>47</v>
      </c>
      <c r="E284" s="6">
        <v>10</v>
      </c>
      <c r="F284" s="7" t="s">
        <v>679</v>
      </c>
      <c r="G284" s="7" t="s">
        <v>680</v>
      </c>
      <c r="H284" s="6">
        <v>3</v>
      </c>
      <c r="I284" s="8">
        <f>VLOOKUP(E284,diagnosis!$A$1:$B$11,2,FALSE)</f>
      </c>
      <c r="J284" s="8">
        <f>VLOOKUP(H284,outcomes!$A$1:$B$4,2,FALSE)</f>
      </c>
      <c r="K284" s="6">
        <f>G284-F284</f>
      </c>
      <c r="L284" s="7" t="s">
        <v>60</v>
      </c>
      <c r="M284" s="6">
        <v>7086</v>
      </c>
      <c r="N284" s="7" t="s">
        <v>39</v>
      </c>
    </row>
    <row x14ac:dyDescent="0.25" r="285" customHeight="1" ht="18.75">
      <c r="A285" s="6">
        <v>284</v>
      </c>
      <c r="B285" s="7" t="s">
        <v>67</v>
      </c>
      <c r="C285" s="6">
        <v>27</v>
      </c>
      <c r="D285" s="7" t="s">
        <v>47</v>
      </c>
      <c r="E285" s="6">
        <v>5</v>
      </c>
      <c r="F285" s="7" t="s">
        <v>681</v>
      </c>
      <c r="G285" s="7" t="s">
        <v>682</v>
      </c>
      <c r="H285" s="6">
        <v>1</v>
      </c>
      <c r="I285" s="8">
        <f>VLOOKUP(E285,diagnosis!$A$1:$B$11,2,FALSE)</f>
      </c>
      <c r="J285" s="8">
        <f>VLOOKUP(H285,outcomes!$A$1:$B$4,2,FALSE)</f>
      </c>
      <c r="K285" s="6">
        <f>G285-F285</f>
      </c>
      <c r="L285" s="7" t="s">
        <v>33</v>
      </c>
      <c r="M285" s="6">
        <v>50320</v>
      </c>
      <c r="N285" s="7" t="s">
        <v>50</v>
      </c>
    </row>
    <row x14ac:dyDescent="0.25" r="286" customHeight="1" ht="18.75">
      <c r="A286" s="6">
        <v>285</v>
      </c>
      <c r="B286" s="7" t="s">
        <v>107</v>
      </c>
      <c r="C286" s="6">
        <v>90</v>
      </c>
      <c r="D286" s="7" t="s">
        <v>30</v>
      </c>
      <c r="E286" s="6">
        <v>7</v>
      </c>
      <c r="F286" s="7" t="s">
        <v>529</v>
      </c>
      <c r="G286" s="7" t="s">
        <v>683</v>
      </c>
      <c r="H286" s="6">
        <v>1</v>
      </c>
      <c r="I286" s="8">
        <f>VLOOKUP(E286,diagnosis!$A$1:$B$11,2,FALSE)</f>
      </c>
      <c r="J286" s="8">
        <f>VLOOKUP(H286,outcomes!$A$1:$B$4,2,FALSE)</f>
      </c>
      <c r="K286" s="6">
        <f>G286-F286</f>
      </c>
      <c r="L286" s="7" t="s">
        <v>33</v>
      </c>
      <c r="M286" s="6">
        <v>19088</v>
      </c>
      <c r="N286" s="7" t="s">
        <v>34</v>
      </c>
    </row>
    <row x14ac:dyDescent="0.25" r="287" customHeight="1" ht="18.75">
      <c r="A287" s="6">
        <v>286</v>
      </c>
      <c r="B287" s="7" t="s">
        <v>684</v>
      </c>
      <c r="C287" s="6">
        <v>69</v>
      </c>
      <c r="D287" s="7" t="s">
        <v>47</v>
      </c>
      <c r="E287" s="6">
        <v>5</v>
      </c>
      <c r="F287" s="7" t="s">
        <v>217</v>
      </c>
      <c r="G287" s="7" t="s">
        <v>290</v>
      </c>
      <c r="H287" s="6">
        <v>2</v>
      </c>
      <c r="I287" s="8">
        <f>VLOOKUP(E287,diagnosis!$A$1:$B$11,2,FALSE)</f>
      </c>
      <c r="J287" s="8">
        <f>VLOOKUP(H287,outcomes!$A$1:$B$4,2,FALSE)</f>
      </c>
      <c r="K287" s="6">
        <f>G287-F287</f>
      </c>
      <c r="L287" s="7" t="s">
        <v>33</v>
      </c>
      <c r="M287" s="6">
        <v>45555</v>
      </c>
      <c r="N287" s="7" t="s">
        <v>39</v>
      </c>
    </row>
    <row x14ac:dyDescent="0.25" r="288" customHeight="1" ht="18.75">
      <c r="A288" s="6">
        <v>287</v>
      </c>
      <c r="B288" s="7" t="s">
        <v>685</v>
      </c>
      <c r="C288" s="6">
        <v>61</v>
      </c>
      <c r="D288" s="7" t="s">
        <v>47</v>
      </c>
      <c r="E288" s="6">
        <v>4</v>
      </c>
      <c r="F288" s="7" t="s">
        <v>465</v>
      </c>
      <c r="G288" s="7" t="s">
        <v>686</v>
      </c>
      <c r="H288" s="6">
        <v>2</v>
      </c>
      <c r="I288" s="8">
        <f>VLOOKUP(E288,diagnosis!$A$1:$B$11,2,FALSE)</f>
      </c>
      <c r="J288" s="8">
        <f>VLOOKUP(H288,outcomes!$A$1:$B$4,2,FALSE)</f>
      </c>
      <c r="K288" s="6">
        <f>G288-F288</f>
      </c>
      <c r="L288" s="7" t="s">
        <v>33</v>
      </c>
      <c r="M288" s="6">
        <v>18516</v>
      </c>
      <c r="N288" s="7" t="s">
        <v>39</v>
      </c>
    </row>
    <row x14ac:dyDescent="0.25" r="289" customHeight="1" ht="18.75">
      <c r="A289" s="6">
        <v>288</v>
      </c>
      <c r="B289" s="7" t="s">
        <v>341</v>
      </c>
      <c r="C289" s="6">
        <v>3</v>
      </c>
      <c r="D289" s="7" t="s">
        <v>47</v>
      </c>
      <c r="E289" s="6">
        <v>9</v>
      </c>
      <c r="F289" s="7" t="s">
        <v>687</v>
      </c>
      <c r="G289" s="7" t="s">
        <v>688</v>
      </c>
      <c r="H289" s="6">
        <v>3</v>
      </c>
      <c r="I289" s="8">
        <f>VLOOKUP(E289,diagnosis!$A$1:$B$11,2,FALSE)</f>
      </c>
      <c r="J289" s="8">
        <f>VLOOKUP(H289,outcomes!$A$1:$B$4,2,FALSE)</f>
      </c>
      <c r="K289" s="6">
        <f>G289-F289</f>
      </c>
      <c r="L289" s="7" t="s">
        <v>60</v>
      </c>
      <c r="M289" s="6">
        <v>14455</v>
      </c>
      <c r="N289" s="7" t="s">
        <v>39</v>
      </c>
    </row>
    <row x14ac:dyDescent="0.25" r="290" customHeight="1" ht="18.75">
      <c r="A290" s="6">
        <v>289</v>
      </c>
      <c r="B290" s="7" t="s">
        <v>689</v>
      </c>
      <c r="C290" s="6">
        <v>43</v>
      </c>
      <c r="D290" s="7" t="s">
        <v>30</v>
      </c>
      <c r="E290" s="6">
        <v>7</v>
      </c>
      <c r="F290" s="7" t="s">
        <v>426</v>
      </c>
      <c r="G290" s="7" t="s">
        <v>347</v>
      </c>
      <c r="H290" s="6">
        <v>3</v>
      </c>
      <c r="I290" s="8">
        <f>VLOOKUP(E290,diagnosis!$A$1:$B$11,2,FALSE)</f>
      </c>
      <c r="J290" s="8">
        <f>VLOOKUP(H290,outcomes!$A$1:$B$4,2,FALSE)</f>
      </c>
      <c r="K290" s="6">
        <f>G290-F290</f>
      </c>
      <c r="L290" s="7" t="s">
        <v>60</v>
      </c>
      <c r="M290" s="6">
        <v>24955</v>
      </c>
      <c r="N290" s="7" t="s">
        <v>39</v>
      </c>
    </row>
    <row x14ac:dyDescent="0.25" r="291" customHeight="1" ht="18.75">
      <c r="A291" s="6">
        <v>290</v>
      </c>
      <c r="B291" s="7" t="s">
        <v>92</v>
      </c>
      <c r="C291" s="6">
        <v>63</v>
      </c>
      <c r="D291" s="7" t="s">
        <v>47</v>
      </c>
      <c r="E291" s="6">
        <v>8</v>
      </c>
      <c r="F291" s="7" t="s">
        <v>390</v>
      </c>
      <c r="G291" s="7" t="s">
        <v>690</v>
      </c>
      <c r="H291" s="6">
        <v>1</v>
      </c>
      <c r="I291" s="8">
        <f>VLOOKUP(E291,diagnosis!$A$1:$B$11,2,FALSE)</f>
      </c>
      <c r="J291" s="8">
        <f>VLOOKUP(H291,outcomes!$A$1:$B$4,2,FALSE)</f>
      </c>
      <c r="K291" s="6">
        <f>G291-F291</f>
      </c>
      <c r="L291" s="7" t="s">
        <v>33</v>
      </c>
      <c r="M291" s="6">
        <v>44577</v>
      </c>
      <c r="N291" s="7" t="s">
        <v>39</v>
      </c>
    </row>
    <row x14ac:dyDescent="0.25" r="292" customHeight="1" ht="18.75">
      <c r="A292" s="6">
        <v>291</v>
      </c>
      <c r="B292" s="7" t="s">
        <v>240</v>
      </c>
      <c r="C292" s="6">
        <v>63</v>
      </c>
      <c r="D292" s="7" t="s">
        <v>30</v>
      </c>
      <c r="E292" s="6">
        <v>9</v>
      </c>
      <c r="F292" s="7" t="s">
        <v>392</v>
      </c>
      <c r="G292" s="7" t="s">
        <v>691</v>
      </c>
      <c r="H292" s="6">
        <v>3</v>
      </c>
      <c r="I292" s="8">
        <f>VLOOKUP(E292,diagnosis!$A$1:$B$11,2,FALSE)</f>
      </c>
      <c r="J292" s="8">
        <f>VLOOKUP(H292,outcomes!$A$1:$B$4,2,FALSE)</f>
      </c>
      <c r="K292" s="6">
        <f>G292-F292</f>
      </c>
      <c r="L292" s="7" t="s">
        <v>33</v>
      </c>
      <c r="M292" s="6">
        <v>66528</v>
      </c>
      <c r="N292" s="7" t="s">
        <v>34</v>
      </c>
    </row>
    <row x14ac:dyDescent="0.25" r="293" customHeight="1" ht="18.75">
      <c r="A293" s="6">
        <v>292</v>
      </c>
      <c r="B293" s="7" t="s">
        <v>692</v>
      </c>
      <c r="C293" s="6">
        <v>1</v>
      </c>
      <c r="D293" s="7" t="s">
        <v>47</v>
      </c>
      <c r="E293" s="6">
        <v>3</v>
      </c>
      <c r="F293" s="7" t="s">
        <v>693</v>
      </c>
      <c r="G293" s="7" t="s">
        <v>694</v>
      </c>
      <c r="H293" s="6">
        <v>3</v>
      </c>
      <c r="I293" s="8">
        <f>VLOOKUP(E293,diagnosis!$A$1:$B$11,2,FALSE)</f>
      </c>
      <c r="J293" s="8">
        <f>VLOOKUP(H293,outcomes!$A$1:$B$4,2,FALSE)</f>
      </c>
      <c r="K293" s="6">
        <f>G293-F293</f>
      </c>
      <c r="L293" s="7" t="s">
        <v>38</v>
      </c>
      <c r="M293" s="6">
        <v>4634</v>
      </c>
      <c r="N293" s="7" t="s">
        <v>50</v>
      </c>
    </row>
    <row x14ac:dyDescent="0.25" r="294" customHeight="1" ht="18.75">
      <c r="A294" s="6">
        <v>293</v>
      </c>
      <c r="B294" s="7" t="s">
        <v>695</v>
      </c>
      <c r="C294" s="6">
        <v>65</v>
      </c>
      <c r="D294" s="7" t="s">
        <v>47</v>
      </c>
      <c r="E294" s="6">
        <v>6</v>
      </c>
      <c r="F294" s="7" t="s">
        <v>696</v>
      </c>
      <c r="G294" s="7" t="s">
        <v>697</v>
      </c>
      <c r="H294" s="6">
        <v>1</v>
      </c>
      <c r="I294" s="8">
        <f>VLOOKUP(E294,diagnosis!$A$1:$B$11,2,FALSE)</f>
      </c>
      <c r="J294" s="8">
        <f>VLOOKUP(H294,outcomes!$A$1:$B$4,2,FALSE)</f>
      </c>
      <c r="K294" s="6">
        <f>G294-F294</f>
      </c>
      <c r="L294" s="7" t="s">
        <v>33</v>
      </c>
      <c r="M294" s="6">
        <v>30345</v>
      </c>
      <c r="N294" s="7" t="s">
        <v>39</v>
      </c>
    </row>
    <row x14ac:dyDescent="0.25" r="295" customHeight="1" ht="18.75">
      <c r="A295" s="6">
        <v>294</v>
      </c>
      <c r="B295" s="7" t="s">
        <v>698</v>
      </c>
      <c r="C295" s="6">
        <v>1</v>
      </c>
      <c r="D295" s="7" t="s">
        <v>47</v>
      </c>
      <c r="E295" s="6">
        <v>1</v>
      </c>
      <c r="F295" s="7" t="s">
        <v>699</v>
      </c>
      <c r="G295" s="7" t="s">
        <v>87</v>
      </c>
      <c r="H295" s="6">
        <v>1</v>
      </c>
      <c r="I295" s="8">
        <f>VLOOKUP(E295,diagnosis!$A$1:$B$11,2,FALSE)</f>
      </c>
      <c r="J295" s="8">
        <f>VLOOKUP(H295,outcomes!$A$1:$B$4,2,FALSE)</f>
      </c>
      <c r="K295" s="6">
        <f>G295-F295</f>
      </c>
      <c r="L295" s="7" t="s">
        <v>38</v>
      </c>
      <c r="M295" s="6">
        <v>2297</v>
      </c>
      <c r="N295" s="7" t="s">
        <v>34</v>
      </c>
    </row>
    <row x14ac:dyDescent="0.25" r="296" customHeight="1" ht="18.75">
      <c r="A296" s="6">
        <v>295</v>
      </c>
      <c r="B296" s="7" t="s">
        <v>700</v>
      </c>
      <c r="C296" s="6">
        <v>65</v>
      </c>
      <c r="D296" s="7" t="s">
        <v>47</v>
      </c>
      <c r="E296" s="6">
        <v>3</v>
      </c>
      <c r="F296" s="7" t="s">
        <v>701</v>
      </c>
      <c r="G296" s="7" t="s">
        <v>702</v>
      </c>
      <c r="H296" s="6">
        <v>1</v>
      </c>
      <c r="I296" s="8">
        <f>VLOOKUP(E296,diagnosis!$A$1:$B$11,2,FALSE)</f>
      </c>
      <c r="J296" s="8">
        <f>VLOOKUP(H296,outcomes!$A$1:$B$4,2,FALSE)</f>
      </c>
      <c r="K296" s="6">
        <f>G296-F296</f>
      </c>
      <c r="L296" s="7" t="s">
        <v>33</v>
      </c>
      <c r="M296" s="6">
        <v>4517</v>
      </c>
      <c r="N296" s="7" t="s">
        <v>34</v>
      </c>
    </row>
    <row x14ac:dyDescent="0.25" r="297" customHeight="1" ht="18.75">
      <c r="A297" s="6">
        <v>296</v>
      </c>
      <c r="B297" s="7" t="s">
        <v>481</v>
      </c>
      <c r="C297" s="6">
        <v>80</v>
      </c>
      <c r="D297" s="7" t="s">
        <v>47</v>
      </c>
      <c r="E297" s="6">
        <v>6</v>
      </c>
      <c r="F297" s="7" t="s">
        <v>703</v>
      </c>
      <c r="G297" s="7" t="s">
        <v>704</v>
      </c>
      <c r="H297" s="6">
        <v>2</v>
      </c>
      <c r="I297" s="8">
        <f>VLOOKUP(E297,diagnosis!$A$1:$B$11,2,FALSE)</f>
      </c>
      <c r="J297" s="8">
        <f>VLOOKUP(H297,outcomes!$A$1:$B$4,2,FALSE)</f>
      </c>
      <c r="K297" s="6">
        <f>G297-F297</f>
      </c>
      <c r="L297" s="7" t="s">
        <v>33</v>
      </c>
      <c r="M297" s="6">
        <v>20979</v>
      </c>
      <c r="N297" s="7" t="s">
        <v>39</v>
      </c>
    </row>
    <row x14ac:dyDescent="0.25" r="298" customHeight="1" ht="18.75">
      <c r="A298" s="6">
        <v>297</v>
      </c>
      <c r="B298" s="7" t="s">
        <v>621</v>
      </c>
      <c r="C298" s="6">
        <v>73</v>
      </c>
      <c r="D298" s="7" t="s">
        <v>30</v>
      </c>
      <c r="E298" s="6">
        <v>4</v>
      </c>
      <c r="F298" s="7" t="s">
        <v>705</v>
      </c>
      <c r="G298" s="7" t="s">
        <v>320</v>
      </c>
      <c r="H298" s="6">
        <v>2</v>
      </c>
      <c r="I298" s="8">
        <f>VLOOKUP(E298,diagnosis!$A$1:$B$11,2,FALSE)</f>
      </c>
      <c r="J298" s="8">
        <f>VLOOKUP(H298,outcomes!$A$1:$B$4,2,FALSE)</f>
      </c>
      <c r="K298" s="6">
        <f>G298-F298</f>
      </c>
      <c r="L298" s="7" t="s">
        <v>33</v>
      </c>
      <c r="M298" s="6">
        <v>37590</v>
      </c>
      <c r="N298" s="7" t="s">
        <v>50</v>
      </c>
    </row>
    <row x14ac:dyDescent="0.25" r="299" customHeight="1" ht="18.75">
      <c r="A299" s="6">
        <v>298</v>
      </c>
      <c r="B299" s="7" t="s">
        <v>101</v>
      </c>
      <c r="C299" s="6">
        <v>49</v>
      </c>
      <c r="D299" s="7" t="s">
        <v>47</v>
      </c>
      <c r="E299" s="6">
        <v>9</v>
      </c>
      <c r="F299" s="7" t="s">
        <v>706</v>
      </c>
      <c r="G299" s="7" t="s">
        <v>707</v>
      </c>
      <c r="H299" s="6">
        <v>2</v>
      </c>
      <c r="I299" s="8">
        <f>VLOOKUP(E299,diagnosis!$A$1:$B$11,2,FALSE)</f>
      </c>
      <c r="J299" s="8">
        <f>VLOOKUP(H299,outcomes!$A$1:$B$4,2,FALSE)</f>
      </c>
      <c r="K299" s="6">
        <f>G299-F299</f>
      </c>
      <c r="L299" s="7" t="s">
        <v>33</v>
      </c>
      <c r="M299" s="6">
        <v>37206</v>
      </c>
      <c r="N299" s="7" t="s">
        <v>34</v>
      </c>
    </row>
    <row x14ac:dyDescent="0.25" r="300" customHeight="1" ht="18.75">
      <c r="A300" s="6">
        <v>299</v>
      </c>
      <c r="B300" s="7" t="s">
        <v>43</v>
      </c>
      <c r="C300" s="6">
        <v>56</v>
      </c>
      <c r="D300" s="7" t="s">
        <v>47</v>
      </c>
      <c r="E300" s="6">
        <v>10</v>
      </c>
      <c r="F300" s="7" t="s">
        <v>708</v>
      </c>
      <c r="G300" s="7" t="s">
        <v>709</v>
      </c>
      <c r="H300" s="6">
        <v>1</v>
      </c>
      <c r="I300" s="8">
        <f>VLOOKUP(E300,diagnosis!$A$1:$B$11,2,FALSE)</f>
      </c>
      <c r="J300" s="8">
        <f>VLOOKUP(H300,outcomes!$A$1:$B$4,2,FALSE)</f>
      </c>
      <c r="K300" s="6">
        <f>G300-F300</f>
      </c>
      <c r="L300" s="7" t="s">
        <v>33</v>
      </c>
      <c r="M300" s="6">
        <v>35824</v>
      </c>
      <c r="N300" s="7" t="s">
        <v>39</v>
      </c>
    </row>
    <row x14ac:dyDescent="0.25" r="301" customHeight="1" ht="18.75">
      <c r="A301" s="6">
        <v>300</v>
      </c>
      <c r="B301" s="7" t="s">
        <v>518</v>
      </c>
      <c r="C301" s="6">
        <v>61</v>
      </c>
      <c r="D301" s="7" t="s">
        <v>47</v>
      </c>
      <c r="E301" s="6">
        <v>1</v>
      </c>
      <c r="F301" s="7" t="s">
        <v>710</v>
      </c>
      <c r="G301" s="7" t="s">
        <v>220</v>
      </c>
      <c r="H301" s="6">
        <v>1</v>
      </c>
      <c r="I301" s="8">
        <f>VLOOKUP(E301,diagnosis!$A$1:$B$11,2,FALSE)</f>
      </c>
      <c r="J301" s="8">
        <f>VLOOKUP(H301,outcomes!$A$1:$B$4,2,FALSE)</f>
      </c>
      <c r="K301" s="6">
        <f>G301-F301</f>
      </c>
      <c r="L301" s="7" t="s">
        <v>33</v>
      </c>
      <c r="M301" s="6">
        <v>89604</v>
      </c>
      <c r="N301" s="7" t="s">
        <v>34</v>
      </c>
    </row>
    <row x14ac:dyDescent="0.25" r="302" customHeight="1" ht="18.75">
      <c r="A302" s="6">
        <v>301</v>
      </c>
      <c r="B302" s="7" t="s">
        <v>700</v>
      </c>
      <c r="C302" s="6">
        <v>41</v>
      </c>
      <c r="D302" s="7" t="s">
        <v>30</v>
      </c>
      <c r="E302" s="6">
        <v>4</v>
      </c>
      <c r="F302" s="7" t="s">
        <v>711</v>
      </c>
      <c r="G302" s="7" t="s">
        <v>712</v>
      </c>
      <c r="H302" s="6">
        <v>3</v>
      </c>
      <c r="I302" s="8">
        <f>VLOOKUP(E302,diagnosis!$A$1:$B$11,2,FALSE)</f>
      </c>
      <c r="J302" s="8">
        <f>VLOOKUP(H302,outcomes!$A$1:$B$4,2,FALSE)</f>
      </c>
      <c r="K302" s="6">
        <f>G302-F302</f>
      </c>
      <c r="L302" s="7" t="s">
        <v>60</v>
      </c>
      <c r="M302" s="6">
        <v>14550</v>
      </c>
      <c r="N302" s="7" t="s">
        <v>34</v>
      </c>
    </row>
    <row x14ac:dyDescent="0.25" r="303" customHeight="1" ht="18.75">
      <c r="A303" s="6">
        <v>302</v>
      </c>
      <c r="B303" s="7" t="s">
        <v>348</v>
      </c>
      <c r="C303" s="6">
        <v>73</v>
      </c>
      <c r="D303" s="7" t="s">
        <v>30</v>
      </c>
      <c r="E303" s="6">
        <v>10</v>
      </c>
      <c r="F303" s="7" t="s">
        <v>541</v>
      </c>
      <c r="G303" s="7" t="s">
        <v>713</v>
      </c>
      <c r="H303" s="6">
        <v>2</v>
      </c>
      <c r="I303" s="8">
        <f>VLOOKUP(E303,diagnosis!$A$1:$B$11,2,FALSE)</f>
      </c>
      <c r="J303" s="8">
        <f>VLOOKUP(H303,outcomes!$A$1:$B$4,2,FALSE)</f>
      </c>
      <c r="K303" s="6">
        <f>G303-F303</f>
      </c>
      <c r="L303" s="7" t="s">
        <v>33</v>
      </c>
      <c r="M303" s="6">
        <v>15942</v>
      </c>
      <c r="N303" s="7" t="s">
        <v>34</v>
      </c>
    </row>
    <row x14ac:dyDescent="0.25" r="304" customHeight="1" ht="18.75">
      <c r="A304" s="6">
        <v>303</v>
      </c>
      <c r="B304" s="7" t="s">
        <v>714</v>
      </c>
      <c r="C304" s="6">
        <v>89</v>
      </c>
      <c r="D304" s="7" t="s">
        <v>30</v>
      </c>
      <c r="E304" s="6">
        <v>9</v>
      </c>
      <c r="F304" s="7" t="s">
        <v>715</v>
      </c>
      <c r="G304" s="7" t="s">
        <v>716</v>
      </c>
      <c r="H304" s="6">
        <v>3</v>
      </c>
      <c r="I304" s="8">
        <f>VLOOKUP(E304,diagnosis!$A$1:$B$11,2,FALSE)</f>
      </c>
      <c r="J304" s="8">
        <f>VLOOKUP(H304,outcomes!$A$1:$B$4,2,FALSE)</f>
      </c>
      <c r="K304" s="6">
        <f>G304-F304</f>
      </c>
      <c r="L304" s="7" t="s">
        <v>33</v>
      </c>
      <c r="M304" s="6">
        <v>11155</v>
      </c>
      <c r="N304" s="7" t="s">
        <v>34</v>
      </c>
    </row>
    <row x14ac:dyDescent="0.25" r="305" customHeight="1" ht="18.75">
      <c r="A305" s="6">
        <v>304</v>
      </c>
      <c r="B305" s="7" t="s">
        <v>109</v>
      </c>
      <c r="C305" s="6">
        <v>10</v>
      </c>
      <c r="D305" s="7" t="s">
        <v>47</v>
      </c>
      <c r="E305" s="6">
        <v>10</v>
      </c>
      <c r="F305" s="7" t="s">
        <v>717</v>
      </c>
      <c r="G305" s="7" t="s">
        <v>306</v>
      </c>
      <c r="H305" s="6">
        <v>3</v>
      </c>
      <c r="I305" s="8">
        <f>VLOOKUP(E305,diagnosis!$A$1:$B$11,2,FALSE)</f>
      </c>
      <c r="J305" s="8">
        <f>VLOOKUP(H305,outcomes!$A$1:$B$4,2,FALSE)</f>
      </c>
      <c r="K305" s="6">
        <f>G305-F305</f>
      </c>
      <c r="L305" s="7" t="s">
        <v>33</v>
      </c>
      <c r="M305" s="6">
        <v>32336</v>
      </c>
      <c r="N305" s="7" t="s">
        <v>39</v>
      </c>
    </row>
    <row x14ac:dyDescent="0.25" r="306" customHeight="1" ht="18.75">
      <c r="A306" s="6">
        <v>305</v>
      </c>
      <c r="B306" s="7" t="s">
        <v>222</v>
      </c>
      <c r="C306" s="6">
        <v>58</v>
      </c>
      <c r="D306" s="7" t="s">
        <v>47</v>
      </c>
      <c r="E306" s="6">
        <v>4</v>
      </c>
      <c r="F306" s="7" t="s">
        <v>718</v>
      </c>
      <c r="G306" s="7" t="s">
        <v>719</v>
      </c>
      <c r="H306" s="6">
        <v>2</v>
      </c>
      <c r="I306" s="8">
        <f>VLOOKUP(E306,diagnosis!$A$1:$B$11,2,FALSE)</f>
      </c>
      <c r="J306" s="8">
        <f>VLOOKUP(H306,outcomes!$A$1:$B$4,2,FALSE)</f>
      </c>
      <c r="K306" s="6">
        <f>G306-F306</f>
      </c>
      <c r="L306" s="7" t="s">
        <v>33</v>
      </c>
      <c r="M306" s="6">
        <v>18828</v>
      </c>
      <c r="N306" s="7" t="s">
        <v>39</v>
      </c>
    </row>
    <row x14ac:dyDescent="0.25" r="307" customHeight="1" ht="18.75">
      <c r="A307" s="6">
        <v>306</v>
      </c>
      <c r="B307" s="7" t="s">
        <v>487</v>
      </c>
      <c r="C307" s="6">
        <v>85</v>
      </c>
      <c r="D307" s="7" t="s">
        <v>47</v>
      </c>
      <c r="E307" s="6">
        <v>2</v>
      </c>
      <c r="F307" s="7" t="s">
        <v>720</v>
      </c>
      <c r="G307" s="7" t="s">
        <v>721</v>
      </c>
      <c r="H307" s="6">
        <v>3</v>
      </c>
      <c r="I307" s="8">
        <f>VLOOKUP(E307,diagnosis!$A$1:$B$11,2,FALSE)</f>
      </c>
      <c r="J307" s="8">
        <f>VLOOKUP(H307,outcomes!$A$1:$B$4,2,FALSE)</f>
      </c>
      <c r="K307" s="6">
        <f>G307-F307</f>
      </c>
      <c r="L307" s="7" t="s">
        <v>33</v>
      </c>
      <c r="M307" s="6">
        <v>91789</v>
      </c>
      <c r="N307" s="7" t="s">
        <v>34</v>
      </c>
    </row>
    <row x14ac:dyDescent="0.25" r="308" customHeight="1" ht="18.75">
      <c r="A308" s="6">
        <v>307</v>
      </c>
      <c r="B308" s="7" t="s">
        <v>234</v>
      </c>
      <c r="C308" s="6">
        <v>20</v>
      </c>
      <c r="D308" s="7" t="s">
        <v>47</v>
      </c>
      <c r="E308" s="6">
        <v>3</v>
      </c>
      <c r="F308" s="7" t="s">
        <v>140</v>
      </c>
      <c r="G308" s="7" t="s">
        <v>722</v>
      </c>
      <c r="H308" s="6">
        <v>3</v>
      </c>
      <c r="I308" s="8">
        <f>VLOOKUP(E308,diagnosis!$A$1:$B$11,2,FALSE)</f>
      </c>
      <c r="J308" s="8">
        <f>VLOOKUP(H308,outcomes!$A$1:$B$4,2,FALSE)</f>
      </c>
      <c r="K308" s="6">
        <f>G308-F308</f>
      </c>
      <c r="L308" s="7" t="s">
        <v>33</v>
      </c>
      <c r="M308" s="6">
        <v>34029</v>
      </c>
      <c r="N308" s="7" t="s">
        <v>34</v>
      </c>
    </row>
    <row x14ac:dyDescent="0.25" r="309" customHeight="1" ht="18.75">
      <c r="A309" s="6">
        <v>308</v>
      </c>
      <c r="B309" s="7" t="s">
        <v>269</v>
      </c>
      <c r="C309" s="6">
        <v>1</v>
      </c>
      <c r="D309" s="7" t="s">
        <v>47</v>
      </c>
      <c r="E309" s="6">
        <v>8</v>
      </c>
      <c r="F309" s="7" t="s">
        <v>201</v>
      </c>
      <c r="G309" s="7" t="s">
        <v>723</v>
      </c>
      <c r="H309" s="6">
        <v>2</v>
      </c>
      <c r="I309" s="8">
        <f>VLOOKUP(E309,diagnosis!$A$1:$B$11,2,FALSE)</f>
      </c>
      <c r="J309" s="8">
        <f>VLOOKUP(H309,outcomes!$A$1:$B$4,2,FALSE)</f>
      </c>
      <c r="K309" s="6">
        <f>G309-F309</f>
      </c>
      <c r="L309" s="7" t="s">
        <v>38</v>
      </c>
      <c r="M309" s="6">
        <v>11061</v>
      </c>
      <c r="N309" s="7" t="s">
        <v>50</v>
      </c>
    </row>
    <row x14ac:dyDescent="0.25" r="310" customHeight="1" ht="18.75">
      <c r="A310" s="6">
        <v>309</v>
      </c>
      <c r="B310" s="7" t="s">
        <v>627</v>
      </c>
      <c r="C310" s="6">
        <v>56</v>
      </c>
      <c r="D310" s="7" t="s">
        <v>47</v>
      </c>
      <c r="E310" s="6">
        <v>9</v>
      </c>
      <c r="F310" s="7" t="s">
        <v>724</v>
      </c>
      <c r="G310" s="7" t="s">
        <v>649</v>
      </c>
      <c r="H310" s="6">
        <v>3</v>
      </c>
      <c r="I310" s="8">
        <f>VLOOKUP(E310,diagnosis!$A$1:$B$11,2,FALSE)</f>
      </c>
      <c r="J310" s="8">
        <f>VLOOKUP(H310,outcomes!$A$1:$B$4,2,FALSE)</f>
      </c>
      <c r="K310" s="6">
        <f>G310-F310</f>
      </c>
      <c r="L310" s="7" t="s">
        <v>60</v>
      </c>
      <c r="M310" s="6">
        <v>22134</v>
      </c>
      <c r="N310" s="7" t="s">
        <v>34</v>
      </c>
    </row>
    <row x14ac:dyDescent="0.25" r="311" customHeight="1" ht="18.75">
      <c r="A311" s="6">
        <v>310</v>
      </c>
      <c r="B311" s="7" t="s">
        <v>391</v>
      </c>
      <c r="C311" s="6">
        <v>46</v>
      </c>
      <c r="D311" s="7" t="s">
        <v>30</v>
      </c>
      <c r="E311" s="6">
        <v>10</v>
      </c>
      <c r="F311" s="7" t="s">
        <v>561</v>
      </c>
      <c r="G311" s="7" t="s">
        <v>725</v>
      </c>
      <c r="H311" s="6">
        <v>3</v>
      </c>
      <c r="I311" s="8">
        <f>VLOOKUP(E311,diagnosis!$A$1:$B$11,2,FALSE)</f>
      </c>
      <c r="J311" s="8">
        <f>VLOOKUP(H311,outcomes!$A$1:$B$4,2,FALSE)</f>
      </c>
      <c r="K311" s="6">
        <f>G311-F311</f>
      </c>
      <c r="L311" s="7" t="s">
        <v>60</v>
      </c>
      <c r="M311" s="6">
        <v>7677</v>
      </c>
      <c r="N311" s="7" t="s">
        <v>39</v>
      </c>
    </row>
    <row x14ac:dyDescent="0.25" r="312" customHeight="1" ht="18.75">
      <c r="A312" s="6">
        <v>311</v>
      </c>
      <c r="B312" s="7" t="s">
        <v>726</v>
      </c>
      <c r="C312" s="6">
        <v>50</v>
      </c>
      <c r="D312" s="7" t="s">
        <v>30</v>
      </c>
      <c r="E312" s="6">
        <v>9</v>
      </c>
      <c r="F312" s="7" t="s">
        <v>727</v>
      </c>
      <c r="G312" s="7" t="s">
        <v>728</v>
      </c>
      <c r="H312" s="6">
        <v>1</v>
      </c>
      <c r="I312" s="8">
        <f>VLOOKUP(E312,diagnosis!$A$1:$B$11,2,FALSE)</f>
      </c>
      <c r="J312" s="8">
        <f>VLOOKUP(H312,outcomes!$A$1:$B$4,2,FALSE)</f>
      </c>
      <c r="K312" s="6">
        <f>G312-F312</f>
      </c>
      <c r="L312" s="7" t="s">
        <v>33</v>
      </c>
      <c r="M312" s="6">
        <v>39284</v>
      </c>
      <c r="N312" s="7" t="s">
        <v>50</v>
      </c>
    </row>
    <row x14ac:dyDescent="0.25" r="313" customHeight="1" ht="18.75">
      <c r="A313" s="6">
        <v>312</v>
      </c>
      <c r="B313" s="7" t="s">
        <v>126</v>
      </c>
      <c r="C313" s="6">
        <v>18</v>
      </c>
      <c r="D313" s="7" t="s">
        <v>47</v>
      </c>
      <c r="E313" s="6">
        <v>5</v>
      </c>
      <c r="F313" s="7" t="s">
        <v>217</v>
      </c>
      <c r="G313" s="7" t="s">
        <v>331</v>
      </c>
      <c r="H313" s="6">
        <v>2</v>
      </c>
      <c r="I313" s="8">
        <f>VLOOKUP(E313,diagnosis!$A$1:$B$11,2,FALSE)</f>
      </c>
      <c r="J313" s="8">
        <f>VLOOKUP(H313,outcomes!$A$1:$B$4,2,FALSE)</f>
      </c>
      <c r="K313" s="6">
        <f>G313-F313</f>
      </c>
      <c r="L313" s="7" t="s">
        <v>33</v>
      </c>
      <c r="M313" s="6">
        <v>22506</v>
      </c>
      <c r="N313" s="7" t="s">
        <v>50</v>
      </c>
    </row>
    <row x14ac:dyDescent="0.25" r="314" customHeight="1" ht="18.75">
      <c r="A314" s="6">
        <v>313</v>
      </c>
      <c r="B314" s="7" t="s">
        <v>498</v>
      </c>
      <c r="C314" s="6">
        <v>36</v>
      </c>
      <c r="D314" s="7" t="s">
        <v>47</v>
      </c>
      <c r="E314" s="6">
        <v>5</v>
      </c>
      <c r="F314" s="7" t="s">
        <v>729</v>
      </c>
      <c r="G314" s="7" t="s">
        <v>730</v>
      </c>
      <c r="H314" s="6">
        <v>2</v>
      </c>
      <c r="I314" s="8">
        <f>VLOOKUP(E314,diagnosis!$A$1:$B$11,2,FALSE)</f>
      </c>
      <c r="J314" s="8">
        <f>VLOOKUP(H314,outcomes!$A$1:$B$4,2,FALSE)</f>
      </c>
      <c r="K314" s="6">
        <f>G314-F314</f>
      </c>
      <c r="L314" s="7" t="s">
        <v>33</v>
      </c>
      <c r="M314" s="6">
        <v>47460</v>
      </c>
      <c r="N314" s="7" t="s">
        <v>39</v>
      </c>
    </row>
    <row x14ac:dyDescent="0.25" r="315" customHeight="1" ht="18.75">
      <c r="A315" s="6">
        <v>314</v>
      </c>
      <c r="B315" s="7" t="s">
        <v>731</v>
      </c>
      <c r="C315" s="6">
        <v>77</v>
      </c>
      <c r="D315" s="7" t="s">
        <v>30</v>
      </c>
      <c r="E315" s="6">
        <v>8</v>
      </c>
      <c r="F315" s="7" t="s">
        <v>732</v>
      </c>
      <c r="G315" s="7" t="s">
        <v>665</v>
      </c>
      <c r="H315" s="6">
        <v>1</v>
      </c>
      <c r="I315" s="8">
        <f>VLOOKUP(E315,diagnosis!$A$1:$B$11,2,FALSE)</f>
      </c>
      <c r="J315" s="8">
        <f>VLOOKUP(H315,outcomes!$A$1:$B$4,2,FALSE)</f>
      </c>
      <c r="K315" s="6">
        <f>G315-F315</f>
      </c>
      <c r="L315" s="7" t="s">
        <v>33</v>
      </c>
      <c r="M315" s="6">
        <v>33824</v>
      </c>
      <c r="N315" s="7" t="s">
        <v>34</v>
      </c>
    </row>
    <row x14ac:dyDescent="0.25" r="316" customHeight="1" ht="18.75">
      <c r="A316" s="6">
        <v>315</v>
      </c>
      <c r="B316" s="7" t="s">
        <v>656</v>
      </c>
      <c r="C316" s="6">
        <v>80</v>
      </c>
      <c r="D316" s="7" t="s">
        <v>47</v>
      </c>
      <c r="E316" s="6">
        <v>6</v>
      </c>
      <c r="F316" s="7" t="s">
        <v>657</v>
      </c>
      <c r="G316" s="7" t="s">
        <v>733</v>
      </c>
      <c r="H316" s="6">
        <v>2</v>
      </c>
      <c r="I316" s="8">
        <f>VLOOKUP(E316,diagnosis!$A$1:$B$11,2,FALSE)</f>
      </c>
      <c r="J316" s="8">
        <f>VLOOKUP(H316,outcomes!$A$1:$B$4,2,FALSE)</f>
      </c>
      <c r="K316" s="6">
        <f>G316-F316</f>
      </c>
      <c r="L316" s="7" t="s">
        <v>33</v>
      </c>
      <c r="M316" s="6">
        <v>52008</v>
      </c>
      <c r="N316" s="7" t="s">
        <v>34</v>
      </c>
    </row>
    <row x14ac:dyDescent="0.25" r="317" customHeight="1" ht="18.75">
      <c r="A317" s="6">
        <v>316</v>
      </c>
      <c r="B317" s="7" t="s">
        <v>734</v>
      </c>
      <c r="C317" s="6">
        <v>42</v>
      </c>
      <c r="D317" s="7" t="s">
        <v>30</v>
      </c>
      <c r="E317" s="6">
        <v>8</v>
      </c>
      <c r="F317" s="7" t="s">
        <v>735</v>
      </c>
      <c r="G317" s="7" t="s">
        <v>393</v>
      </c>
      <c r="H317" s="6">
        <v>2</v>
      </c>
      <c r="I317" s="8">
        <f>VLOOKUP(E317,diagnosis!$A$1:$B$11,2,FALSE)</f>
      </c>
      <c r="J317" s="8">
        <f>VLOOKUP(H317,outcomes!$A$1:$B$4,2,FALSE)</f>
      </c>
      <c r="K317" s="6">
        <f>G317-F317</f>
      </c>
      <c r="L317" s="7" t="s">
        <v>33</v>
      </c>
      <c r="M317" s="6">
        <v>43040</v>
      </c>
      <c r="N317" s="7" t="s">
        <v>50</v>
      </c>
    </row>
    <row x14ac:dyDescent="0.25" r="318" customHeight="1" ht="18.75">
      <c r="A318" s="6">
        <v>317</v>
      </c>
      <c r="B318" s="7" t="s">
        <v>222</v>
      </c>
      <c r="C318" s="6">
        <v>74</v>
      </c>
      <c r="D318" s="7" t="s">
        <v>30</v>
      </c>
      <c r="E318" s="6">
        <v>6</v>
      </c>
      <c r="F318" s="7" t="s">
        <v>736</v>
      </c>
      <c r="G318" s="7" t="s">
        <v>541</v>
      </c>
      <c r="H318" s="6">
        <v>2</v>
      </c>
      <c r="I318" s="8">
        <f>VLOOKUP(E318,diagnosis!$A$1:$B$11,2,FALSE)</f>
      </c>
      <c r="J318" s="8">
        <f>VLOOKUP(H318,outcomes!$A$1:$B$4,2,FALSE)</f>
      </c>
      <c r="K318" s="6">
        <f>G318-F318</f>
      </c>
      <c r="L318" s="7" t="s">
        <v>33</v>
      </c>
      <c r="M318" s="6">
        <v>44368</v>
      </c>
      <c r="N318" s="7" t="s">
        <v>39</v>
      </c>
    </row>
    <row x14ac:dyDescent="0.25" r="319" customHeight="1" ht="18.75">
      <c r="A319" s="6">
        <v>318</v>
      </c>
      <c r="B319" s="7" t="s">
        <v>73</v>
      </c>
      <c r="C319" s="6">
        <v>26</v>
      </c>
      <c r="D319" s="7" t="s">
        <v>30</v>
      </c>
      <c r="E319" s="6">
        <v>9</v>
      </c>
      <c r="F319" s="7" t="s">
        <v>737</v>
      </c>
      <c r="G319" s="7" t="s">
        <v>422</v>
      </c>
      <c r="H319" s="6">
        <v>1</v>
      </c>
      <c r="I319" s="8">
        <f>VLOOKUP(E319,diagnosis!$A$1:$B$11,2,FALSE)</f>
      </c>
      <c r="J319" s="8">
        <f>VLOOKUP(H319,outcomes!$A$1:$B$4,2,FALSE)</f>
      </c>
      <c r="K319" s="6">
        <f>G319-F319</f>
      </c>
      <c r="L319" s="7" t="s">
        <v>33</v>
      </c>
      <c r="M319" s="6">
        <v>71877</v>
      </c>
      <c r="N319" s="7" t="s">
        <v>39</v>
      </c>
    </row>
    <row x14ac:dyDescent="0.25" r="320" customHeight="1" ht="18.75">
      <c r="A320" s="6">
        <v>319</v>
      </c>
      <c r="B320" s="7" t="s">
        <v>554</v>
      </c>
      <c r="C320" s="6">
        <v>89</v>
      </c>
      <c r="D320" s="7" t="s">
        <v>30</v>
      </c>
      <c r="E320" s="6">
        <v>7</v>
      </c>
      <c r="F320" s="7" t="s">
        <v>738</v>
      </c>
      <c r="G320" s="7" t="s">
        <v>449</v>
      </c>
      <c r="H320" s="6">
        <v>3</v>
      </c>
      <c r="I320" s="8">
        <f>VLOOKUP(E320,diagnosis!$A$1:$B$11,2,FALSE)</f>
      </c>
      <c r="J320" s="8">
        <f>VLOOKUP(H320,outcomes!$A$1:$B$4,2,FALSE)</f>
      </c>
      <c r="K320" s="6">
        <f>G320-F320</f>
      </c>
      <c r="L320" s="7" t="s">
        <v>33</v>
      </c>
      <c r="M320" s="6">
        <v>20060</v>
      </c>
      <c r="N320" s="7" t="s">
        <v>39</v>
      </c>
    </row>
    <row x14ac:dyDescent="0.25" r="321" customHeight="1" ht="18.75">
      <c r="A321" s="6">
        <v>320</v>
      </c>
      <c r="B321" s="7" t="s">
        <v>739</v>
      </c>
      <c r="C321" s="6">
        <v>85</v>
      </c>
      <c r="D321" s="7" t="s">
        <v>30</v>
      </c>
      <c r="E321" s="6">
        <v>7</v>
      </c>
      <c r="F321" s="7" t="s">
        <v>740</v>
      </c>
      <c r="G321" s="7" t="s">
        <v>741</v>
      </c>
      <c r="H321" s="6">
        <v>2</v>
      </c>
      <c r="I321" s="8">
        <f>VLOOKUP(E321,diagnosis!$A$1:$B$11,2,FALSE)</f>
      </c>
      <c r="J321" s="8">
        <f>VLOOKUP(H321,outcomes!$A$1:$B$4,2,FALSE)</f>
      </c>
      <c r="K321" s="6">
        <f>G321-F321</f>
      </c>
      <c r="L321" s="7" t="s">
        <v>33</v>
      </c>
      <c r="M321" s="6">
        <v>21420</v>
      </c>
      <c r="N321" s="7" t="s">
        <v>39</v>
      </c>
    </row>
    <row x14ac:dyDescent="0.25" r="322" customHeight="1" ht="18.75">
      <c r="A322" s="6">
        <v>321</v>
      </c>
      <c r="B322" s="7" t="s">
        <v>297</v>
      </c>
      <c r="C322" s="6">
        <v>52</v>
      </c>
      <c r="D322" s="7" t="s">
        <v>47</v>
      </c>
      <c r="E322" s="6">
        <v>9</v>
      </c>
      <c r="F322" s="7" t="s">
        <v>742</v>
      </c>
      <c r="G322" s="7" t="s">
        <v>87</v>
      </c>
      <c r="H322" s="6">
        <v>1</v>
      </c>
      <c r="I322" s="8">
        <f>VLOOKUP(E322,diagnosis!$A$1:$B$11,2,FALSE)</f>
      </c>
      <c r="J322" s="8">
        <f>VLOOKUP(H322,outcomes!$A$1:$B$4,2,FALSE)</f>
      </c>
      <c r="K322" s="6">
        <f>G322-F322</f>
      </c>
      <c r="L322" s="7" t="s">
        <v>33</v>
      </c>
      <c r="M322" s="6">
        <v>72770</v>
      </c>
      <c r="N322" s="7" t="s">
        <v>34</v>
      </c>
    </row>
    <row x14ac:dyDescent="0.25" r="323" customHeight="1" ht="18.75">
      <c r="A323" s="6">
        <v>322</v>
      </c>
      <c r="B323" s="7" t="s">
        <v>743</v>
      </c>
      <c r="C323" s="6">
        <v>32</v>
      </c>
      <c r="D323" s="7" t="s">
        <v>47</v>
      </c>
      <c r="E323" s="6">
        <v>3</v>
      </c>
      <c r="F323" s="7" t="s">
        <v>744</v>
      </c>
      <c r="G323" s="7" t="s">
        <v>724</v>
      </c>
      <c r="H323" s="6">
        <v>3</v>
      </c>
      <c r="I323" s="8">
        <f>VLOOKUP(E323,diagnosis!$A$1:$B$11,2,FALSE)</f>
      </c>
      <c r="J323" s="8">
        <f>VLOOKUP(H323,outcomes!$A$1:$B$4,2,FALSE)</f>
      </c>
      <c r="K323" s="6">
        <f>G323-F323</f>
      </c>
      <c r="L323" s="7" t="s">
        <v>60</v>
      </c>
      <c r="M323" s="6">
        <v>13744</v>
      </c>
      <c r="N323" s="7" t="s">
        <v>50</v>
      </c>
    </row>
    <row x14ac:dyDescent="0.25" r="324" customHeight="1" ht="18.75">
      <c r="A324" s="6">
        <v>323</v>
      </c>
      <c r="B324" s="7" t="s">
        <v>593</v>
      </c>
      <c r="C324" s="6">
        <v>56</v>
      </c>
      <c r="D324" s="7" t="s">
        <v>30</v>
      </c>
      <c r="E324" s="6">
        <v>1</v>
      </c>
      <c r="F324" s="7" t="s">
        <v>745</v>
      </c>
      <c r="G324" s="7" t="s">
        <v>97</v>
      </c>
      <c r="H324" s="6">
        <v>1</v>
      </c>
      <c r="I324" s="8">
        <f>VLOOKUP(E324,diagnosis!$A$1:$B$11,2,FALSE)</f>
      </c>
      <c r="J324" s="8">
        <f>VLOOKUP(H324,outcomes!$A$1:$B$4,2,FALSE)</f>
      </c>
      <c r="K324" s="6">
        <f>G324-F324</f>
      </c>
      <c r="L324" s="7" t="s">
        <v>33</v>
      </c>
      <c r="M324" s="6">
        <v>47993</v>
      </c>
      <c r="N324" s="7" t="s">
        <v>39</v>
      </c>
    </row>
    <row x14ac:dyDescent="0.25" r="325" customHeight="1" ht="18.75">
      <c r="A325" s="6">
        <v>324</v>
      </c>
      <c r="B325" s="7" t="s">
        <v>289</v>
      </c>
      <c r="C325" s="6">
        <v>75</v>
      </c>
      <c r="D325" s="7" t="s">
        <v>30</v>
      </c>
      <c r="E325" s="6">
        <v>8</v>
      </c>
      <c r="F325" s="7" t="s">
        <v>312</v>
      </c>
      <c r="G325" s="7" t="s">
        <v>517</v>
      </c>
      <c r="H325" s="6">
        <v>2</v>
      </c>
      <c r="I325" s="8">
        <f>VLOOKUP(E325,diagnosis!$A$1:$B$11,2,FALSE)</f>
      </c>
      <c r="J325" s="8">
        <f>VLOOKUP(H325,outcomes!$A$1:$B$4,2,FALSE)</f>
      </c>
      <c r="K325" s="6">
        <f>G325-F325</f>
      </c>
      <c r="L325" s="7" t="s">
        <v>33</v>
      </c>
      <c r="M325" s="6">
        <v>69606</v>
      </c>
      <c r="N325" s="7" t="s">
        <v>34</v>
      </c>
    </row>
    <row x14ac:dyDescent="0.25" r="326" customHeight="1" ht="18.75">
      <c r="A326" s="6">
        <v>325</v>
      </c>
      <c r="B326" s="7" t="s">
        <v>257</v>
      </c>
      <c r="C326" s="6">
        <v>45</v>
      </c>
      <c r="D326" s="7" t="s">
        <v>30</v>
      </c>
      <c r="E326" s="6">
        <v>8</v>
      </c>
      <c r="F326" s="7" t="s">
        <v>746</v>
      </c>
      <c r="G326" s="7" t="s">
        <v>747</v>
      </c>
      <c r="H326" s="6">
        <v>1</v>
      </c>
      <c r="I326" s="8">
        <f>VLOOKUP(E326,diagnosis!$A$1:$B$11,2,FALSE)</f>
      </c>
      <c r="J326" s="8">
        <f>VLOOKUP(H326,outcomes!$A$1:$B$4,2,FALSE)</f>
      </c>
      <c r="K326" s="6">
        <f>G326-F326</f>
      </c>
      <c r="L326" s="7" t="s">
        <v>60</v>
      </c>
      <c r="M326" s="6">
        <v>21660</v>
      </c>
      <c r="N326" s="7" t="s">
        <v>34</v>
      </c>
    </row>
    <row x14ac:dyDescent="0.25" r="327" customHeight="1" ht="18.75">
      <c r="A327" s="6">
        <v>326</v>
      </c>
      <c r="B327" s="7" t="s">
        <v>748</v>
      </c>
      <c r="C327" s="6">
        <v>45</v>
      </c>
      <c r="D327" s="7" t="s">
        <v>47</v>
      </c>
      <c r="E327" s="6">
        <v>6</v>
      </c>
      <c r="F327" s="7" t="s">
        <v>749</v>
      </c>
      <c r="G327" s="7" t="s">
        <v>641</v>
      </c>
      <c r="H327" s="6">
        <v>2</v>
      </c>
      <c r="I327" s="8">
        <f>VLOOKUP(E327,diagnosis!$A$1:$B$11,2,FALSE)</f>
      </c>
      <c r="J327" s="8">
        <f>VLOOKUP(H327,outcomes!$A$1:$B$4,2,FALSE)</f>
      </c>
      <c r="K327" s="6">
        <f>G327-F327</f>
      </c>
      <c r="L327" s="7" t="s">
        <v>60</v>
      </c>
      <c r="M327" s="6">
        <v>21885</v>
      </c>
      <c r="N327" s="7" t="s">
        <v>34</v>
      </c>
    </row>
    <row x14ac:dyDescent="0.25" r="328" customHeight="1" ht="18.75">
      <c r="A328" s="6">
        <v>327</v>
      </c>
      <c r="B328" s="7" t="s">
        <v>685</v>
      </c>
      <c r="C328" s="6">
        <v>13</v>
      </c>
      <c r="D328" s="7" t="s">
        <v>47</v>
      </c>
      <c r="E328" s="6">
        <v>8</v>
      </c>
      <c r="F328" s="7" t="s">
        <v>750</v>
      </c>
      <c r="G328" s="7" t="s">
        <v>751</v>
      </c>
      <c r="H328" s="6">
        <v>2</v>
      </c>
      <c r="I328" s="8">
        <f>VLOOKUP(E328,diagnosis!$A$1:$B$11,2,FALSE)</f>
      </c>
      <c r="J328" s="8">
        <f>VLOOKUP(H328,outcomes!$A$1:$B$4,2,FALSE)</f>
      </c>
      <c r="K328" s="6">
        <f>G328-F328</f>
      </c>
      <c r="L328" s="7" t="s">
        <v>33</v>
      </c>
      <c r="M328" s="6">
        <v>78208</v>
      </c>
      <c r="N328" s="7" t="s">
        <v>34</v>
      </c>
    </row>
    <row x14ac:dyDescent="0.25" r="329" customHeight="1" ht="18.75">
      <c r="A329" s="6">
        <v>328</v>
      </c>
      <c r="B329" s="7" t="s">
        <v>454</v>
      </c>
      <c r="C329" s="6">
        <v>44</v>
      </c>
      <c r="D329" s="7" t="s">
        <v>30</v>
      </c>
      <c r="E329" s="6">
        <v>3</v>
      </c>
      <c r="F329" s="7" t="s">
        <v>382</v>
      </c>
      <c r="G329" s="7" t="s">
        <v>752</v>
      </c>
      <c r="H329" s="6">
        <v>3</v>
      </c>
      <c r="I329" s="8">
        <f>VLOOKUP(E329,diagnosis!$A$1:$B$11,2,FALSE)</f>
      </c>
      <c r="J329" s="8">
        <f>VLOOKUP(H329,outcomes!$A$1:$B$4,2,FALSE)</f>
      </c>
      <c r="K329" s="6">
        <f>G329-F329</f>
      </c>
      <c r="L329" s="7" t="s">
        <v>60</v>
      </c>
      <c r="M329" s="6">
        <v>3134</v>
      </c>
      <c r="N329" s="7" t="s">
        <v>34</v>
      </c>
    </row>
    <row x14ac:dyDescent="0.25" r="330" customHeight="1" ht="18.75">
      <c r="A330" s="6">
        <v>329</v>
      </c>
      <c r="B330" s="7" t="s">
        <v>126</v>
      </c>
      <c r="C330" s="6">
        <v>72</v>
      </c>
      <c r="D330" s="7" t="s">
        <v>47</v>
      </c>
      <c r="E330" s="6">
        <v>8</v>
      </c>
      <c r="F330" s="7" t="s">
        <v>753</v>
      </c>
      <c r="G330" s="7" t="s">
        <v>93</v>
      </c>
      <c r="H330" s="6">
        <v>1</v>
      </c>
      <c r="I330" s="8">
        <f>VLOOKUP(E330,diagnosis!$A$1:$B$11,2,FALSE)</f>
      </c>
      <c r="J330" s="8">
        <f>VLOOKUP(H330,outcomes!$A$1:$B$4,2,FALSE)</f>
      </c>
      <c r="K330" s="6">
        <f>G330-F330</f>
      </c>
      <c r="L330" s="7" t="s">
        <v>33</v>
      </c>
      <c r="M330" s="6">
        <v>31130</v>
      </c>
      <c r="N330" s="7" t="s">
        <v>34</v>
      </c>
    </row>
    <row x14ac:dyDescent="0.25" r="331" customHeight="1" ht="18.75">
      <c r="A331" s="6">
        <v>330</v>
      </c>
      <c r="B331" s="7" t="s">
        <v>358</v>
      </c>
      <c r="C331" s="6">
        <v>4</v>
      </c>
      <c r="D331" s="7" t="s">
        <v>30</v>
      </c>
      <c r="E331" s="6">
        <v>8</v>
      </c>
      <c r="F331" s="7" t="s">
        <v>754</v>
      </c>
      <c r="G331" s="7" t="s">
        <v>755</v>
      </c>
      <c r="H331" s="6">
        <v>3</v>
      </c>
      <c r="I331" s="8">
        <f>VLOOKUP(E331,diagnosis!$A$1:$B$11,2,FALSE)</f>
      </c>
      <c r="J331" s="8">
        <f>VLOOKUP(H331,outcomes!$A$1:$B$4,2,FALSE)</f>
      </c>
      <c r="K331" s="6">
        <f>G331-F331</f>
      </c>
      <c r="L331" s="7" t="s">
        <v>33</v>
      </c>
      <c r="M331" s="6">
        <v>31577</v>
      </c>
      <c r="N331" s="7" t="s">
        <v>34</v>
      </c>
    </row>
    <row x14ac:dyDescent="0.25" r="332" customHeight="1" ht="18.75">
      <c r="A332" s="6">
        <v>331</v>
      </c>
      <c r="B332" s="7" t="s">
        <v>726</v>
      </c>
      <c r="C332" s="6">
        <v>36</v>
      </c>
      <c r="D332" s="7" t="s">
        <v>30</v>
      </c>
      <c r="E332" s="6">
        <v>10</v>
      </c>
      <c r="F332" s="7" t="s">
        <v>653</v>
      </c>
      <c r="G332" s="7" t="s">
        <v>756</v>
      </c>
      <c r="H332" s="6">
        <v>1</v>
      </c>
      <c r="I332" s="8">
        <f>VLOOKUP(E332,diagnosis!$A$1:$B$11,2,FALSE)</f>
      </c>
      <c r="J332" s="8">
        <f>VLOOKUP(H332,outcomes!$A$1:$B$4,2,FALSE)</f>
      </c>
      <c r="K332" s="6">
        <f>G332-F332</f>
      </c>
      <c r="L332" s="7" t="s">
        <v>60</v>
      </c>
      <c r="M332" s="6">
        <v>24108</v>
      </c>
      <c r="N332" s="7" t="s">
        <v>34</v>
      </c>
    </row>
    <row x14ac:dyDescent="0.25" r="333" customHeight="1" ht="18.75">
      <c r="A333" s="6">
        <v>332</v>
      </c>
      <c r="B333" s="7" t="s">
        <v>757</v>
      </c>
      <c r="C333" s="6">
        <v>59</v>
      </c>
      <c r="D333" s="7" t="s">
        <v>30</v>
      </c>
      <c r="E333" s="6">
        <v>5</v>
      </c>
      <c r="F333" s="7" t="s">
        <v>342</v>
      </c>
      <c r="G333" s="7" t="s">
        <v>758</v>
      </c>
      <c r="H333" s="6">
        <v>3</v>
      </c>
      <c r="I333" s="8">
        <f>VLOOKUP(E333,diagnosis!$A$1:$B$11,2,FALSE)</f>
      </c>
      <c r="J333" s="8">
        <f>VLOOKUP(H333,outcomes!$A$1:$B$4,2,FALSE)</f>
      </c>
      <c r="K333" s="6">
        <f>G333-F333</f>
      </c>
      <c r="L333" s="7" t="s">
        <v>33</v>
      </c>
      <c r="M333" s="6">
        <v>26600</v>
      </c>
      <c r="N333" s="7" t="s">
        <v>39</v>
      </c>
    </row>
    <row x14ac:dyDescent="0.25" r="334" customHeight="1" ht="18.75">
      <c r="A334" s="6">
        <v>333</v>
      </c>
      <c r="B334" s="7" t="s">
        <v>759</v>
      </c>
      <c r="C334" s="6">
        <v>51</v>
      </c>
      <c r="D334" s="7" t="s">
        <v>30</v>
      </c>
      <c r="E334" s="6">
        <v>6</v>
      </c>
      <c r="F334" s="7" t="s">
        <v>218</v>
      </c>
      <c r="G334" s="7" t="s">
        <v>460</v>
      </c>
      <c r="H334" s="6">
        <v>2</v>
      </c>
      <c r="I334" s="8">
        <f>VLOOKUP(E334,diagnosis!$A$1:$B$11,2,FALSE)</f>
      </c>
      <c r="J334" s="8">
        <f>VLOOKUP(H334,outcomes!$A$1:$B$4,2,FALSE)</f>
      </c>
      <c r="K334" s="6">
        <f>G334-F334</f>
      </c>
      <c r="L334" s="7" t="s">
        <v>33</v>
      </c>
      <c r="M334" s="6">
        <v>77820</v>
      </c>
      <c r="N334" s="7" t="s">
        <v>34</v>
      </c>
    </row>
    <row x14ac:dyDescent="0.25" r="335" customHeight="1" ht="18.75">
      <c r="A335" s="6">
        <v>334</v>
      </c>
      <c r="B335" s="7" t="s">
        <v>539</v>
      </c>
      <c r="C335" s="6">
        <v>76</v>
      </c>
      <c r="D335" s="7" t="s">
        <v>30</v>
      </c>
      <c r="E335" s="6">
        <v>3</v>
      </c>
      <c r="F335" s="7" t="s">
        <v>430</v>
      </c>
      <c r="G335" s="7" t="s">
        <v>137</v>
      </c>
      <c r="H335" s="6">
        <v>2</v>
      </c>
      <c r="I335" s="8">
        <f>VLOOKUP(E335,diagnosis!$A$1:$B$11,2,FALSE)</f>
      </c>
      <c r="J335" s="8">
        <f>VLOOKUP(H335,outcomes!$A$1:$B$4,2,FALSE)</f>
      </c>
      <c r="K335" s="6">
        <f>G335-F335</f>
      </c>
      <c r="L335" s="7" t="s">
        <v>33</v>
      </c>
      <c r="M335" s="6">
        <v>82220</v>
      </c>
      <c r="N335" s="7" t="s">
        <v>50</v>
      </c>
    </row>
    <row x14ac:dyDescent="0.25" r="336" customHeight="1" ht="18.75">
      <c r="A336" s="6">
        <v>335</v>
      </c>
      <c r="B336" s="7" t="s">
        <v>676</v>
      </c>
      <c r="C336" s="6">
        <v>48</v>
      </c>
      <c r="D336" s="7" t="s">
        <v>30</v>
      </c>
      <c r="E336" s="6">
        <v>9</v>
      </c>
      <c r="F336" s="7" t="s">
        <v>760</v>
      </c>
      <c r="G336" s="7" t="s">
        <v>130</v>
      </c>
      <c r="H336" s="6">
        <v>2</v>
      </c>
      <c r="I336" s="8">
        <f>VLOOKUP(E336,diagnosis!$A$1:$B$11,2,FALSE)</f>
      </c>
      <c r="J336" s="8">
        <f>VLOOKUP(H336,outcomes!$A$1:$B$4,2,FALSE)</f>
      </c>
      <c r="K336" s="6">
        <f>G336-F336</f>
      </c>
      <c r="L336" s="7" t="s">
        <v>60</v>
      </c>
      <c r="M336" s="6">
        <v>22260</v>
      </c>
      <c r="N336" s="7" t="s">
        <v>34</v>
      </c>
    </row>
    <row x14ac:dyDescent="0.25" r="337" customHeight="1" ht="18.75">
      <c r="A337" s="6">
        <v>336</v>
      </c>
      <c r="B337" s="7" t="s">
        <v>577</v>
      </c>
      <c r="C337" s="6">
        <v>24</v>
      </c>
      <c r="D337" s="7" t="s">
        <v>47</v>
      </c>
      <c r="E337" s="6">
        <v>9</v>
      </c>
      <c r="F337" s="7" t="s">
        <v>331</v>
      </c>
      <c r="G337" s="7" t="s">
        <v>761</v>
      </c>
      <c r="H337" s="6">
        <v>3</v>
      </c>
      <c r="I337" s="8">
        <f>VLOOKUP(E337,diagnosis!$A$1:$B$11,2,FALSE)</f>
      </c>
      <c r="J337" s="8">
        <f>VLOOKUP(H337,outcomes!$A$1:$B$4,2,FALSE)</f>
      </c>
      <c r="K337" s="6">
        <f>G337-F337</f>
      </c>
      <c r="L337" s="7" t="s">
        <v>33</v>
      </c>
      <c r="M337" s="6">
        <v>56238</v>
      </c>
      <c r="N337" s="7" t="s">
        <v>50</v>
      </c>
    </row>
    <row x14ac:dyDescent="0.25" r="338" customHeight="1" ht="18.75">
      <c r="A338" s="6">
        <v>337</v>
      </c>
      <c r="B338" s="7" t="s">
        <v>762</v>
      </c>
      <c r="C338" s="6">
        <v>37</v>
      </c>
      <c r="D338" s="7" t="s">
        <v>30</v>
      </c>
      <c r="E338" s="6">
        <v>3</v>
      </c>
      <c r="F338" s="7" t="s">
        <v>763</v>
      </c>
      <c r="G338" s="7" t="s">
        <v>764</v>
      </c>
      <c r="H338" s="6">
        <v>2</v>
      </c>
      <c r="I338" s="8">
        <f>VLOOKUP(E338,diagnosis!$A$1:$B$11,2,FALSE)</f>
      </c>
      <c r="J338" s="8">
        <f>VLOOKUP(H338,outcomes!$A$1:$B$4,2,FALSE)</f>
      </c>
      <c r="K338" s="6">
        <f>G338-F338</f>
      </c>
      <c r="L338" s="7" t="s">
        <v>33</v>
      </c>
      <c r="M338" s="6">
        <v>44848</v>
      </c>
      <c r="N338" s="7" t="s">
        <v>50</v>
      </c>
    </row>
    <row x14ac:dyDescent="0.25" r="339" customHeight="1" ht="18.75">
      <c r="A339" s="6">
        <v>338</v>
      </c>
      <c r="B339" s="7" t="s">
        <v>668</v>
      </c>
      <c r="C339" s="6">
        <v>63</v>
      </c>
      <c r="D339" s="7" t="s">
        <v>30</v>
      </c>
      <c r="E339" s="6">
        <v>4</v>
      </c>
      <c r="F339" s="7" t="s">
        <v>765</v>
      </c>
      <c r="G339" s="7" t="s">
        <v>766</v>
      </c>
      <c r="H339" s="6">
        <v>2</v>
      </c>
      <c r="I339" s="8">
        <f>VLOOKUP(E339,diagnosis!$A$1:$B$11,2,FALSE)</f>
      </c>
      <c r="J339" s="8">
        <f>VLOOKUP(H339,outcomes!$A$1:$B$4,2,FALSE)</f>
      </c>
      <c r="K339" s="6">
        <f>G339-F339</f>
      </c>
      <c r="L339" s="7" t="s">
        <v>33</v>
      </c>
      <c r="M339" s="6">
        <v>3176</v>
      </c>
      <c r="N339" s="7" t="s">
        <v>39</v>
      </c>
    </row>
    <row x14ac:dyDescent="0.25" r="340" customHeight="1" ht="18.75">
      <c r="A340" s="6">
        <v>339</v>
      </c>
      <c r="B340" s="7" t="s">
        <v>685</v>
      </c>
      <c r="C340" s="6">
        <v>54</v>
      </c>
      <c r="D340" s="7" t="s">
        <v>47</v>
      </c>
      <c r="E340" s="6">
        <v>8</v>
      </c>
      <c r="F340" s="7" t="s">
        <v>767</v>
      </c>
      <c r="G340" s="7" t="s">
        <v>215</v>
      </c>
      <c r="H340" s="6">
        <v>1</v>
      </c>
      <c r="I340" s="8">
        <f>VLOOKUP(E340,diagnosis!$A$1:$B$11,2,FALSE)</f>
      </c>
      <c r="J340" s="8">
        <f>VLOOKUP(H340,outcomes!$A$1:$B$4,2,FALSE)</f>
      </c>
      <c r="K340" s="6">
        <f>G340-F340</f>
      </c>
      <c r="L340" s="7" t="s">
        <v>33</v>
      </c>
      <c r="M340" s="6">
        <v>73632</v>
      </c>
      <c r="N340" s="7" t="s">
        <v>39</v>
      </c>
    </row>
    <row x14ac:dyDescent="0.25" r="341" customHeight="1" ht="18.75">
      <c r="A341" s="6">
        <v>340</v>
      </c>
      <c r="B341" s="7" t="s">
        <v>768</v>
      </c>
      <c r="C341" s="6">
        <v>5</v>
      </c>
      <c r="D341" s="7" t="s">
        <v>47</v>
      </c>
      <c r="E341" s="6">
        <v>4</v>
      </c>
      <c r="F341" s="7" t="s">
        <v>220</v>
      </c>
      <c r="G341" s="7" t="s">
        <v>769</v>
      </c>
      <c r="H341" s="6">
        <v>3</v>
      </c>
      <c r="I341" s="8">
        <f>VLOOKUP(E341,diagnosis!$A$1:$B$11,2,FALSE)</f>
      </c>
      <c r="J341" s="8">
        <f>VLOOKUP(H341,outcomes!$A$1:$B$4,2,FALSE)</f>
      </c>
      <c r="K341" s="6">
        <f>G341-F341</f>
      </c>
      <c r="L341" s="7" t="s">
        <v>33</v>
      </c>
      <c r="M341" s="6">
        <v>48550</v>
      </c>
      <c r="N341" s="7" t="s">
        <v>34</v>
      </c>
    </row>
    <row x14ac:dyDescent="0.25" r="342" customHeight="1" ht="18.75">
      <c r="A342" s="6">
        <v>341</v>
      </c>
      <c r="B342" s="7" t="s">
        <v>528</v>
      </c>
      <c r="C342" s="6">
        <v>66</v>
      </c>
      <c r="D342" s="7" t="s">
        <v>30</v>
      </c>
      <c r="E342" s="6">
        <v>10</v>
      </c>
      <c r="F342" s="7" t="s">
        <v>770</v>
      </c>
      <c r="G342" s="7" t="s">
        <v>771</v>
      </c>
      <c r="H342" s="6">
        <v>1</v>
      </c>
      <c r="I342" s="8">
        <f>VLOOKUP(E342,diagnosis!$A$1:$B$11,2,FALSE)</f>
      </c>
      <c r="J342" s="8">
        <f>VLOOKUP(H342,outcomes!$A$1:$B$4,2,FALSE)</f>
      </c>
      <c r="K342" s="6">
        <f>G342-F342</f>
      </c>
      <c r="L342" s="7" t="s">
        <v>33</v>
      </c>
      <c r="M342" s="6">
        <v>55098</v>
      </c>
      <c r="N342" s="7" t="s">
        <v>39</v>
      </c>
    </row>
    <row x14ac:dyDescent="0.25" r="343" customHeight="1" ht="18.75">
      <c r="A343" s="6">
        <v>342</v>
      </c>
      <c r="B343" s="7" t="s">
        <v>399</v>
      </c>
      <c r="C343" s="6">
        <v>70</v>
      </c>
      <c r="D343" s="7" t="s">
        <v>30</v>
      </c>
      <c r="E343" s="6">
        <v>7</v>
      </c>
      <c r="F343" s="7" t="s">
        <v>772</v>
      </c>
      <c r="G343" s="7" t="s">
        <v>773</v>
      </c>
      <c r="H343" s="6">
        <v>1</v>
      </c>
      <c r="I343" s="8">
        <f>VLOOKUP(E343,diagnosis!$A$1:$B$11,2,FALSE)</f>
      </c>
      <c r="J343" s="8">
        <f>VLOOKUP(H343,outcomes!$A$1:$B$4,2,FALSE)</f>
      </c>
      <c r="K343" s="6">
        <f>G343-F343</f>
      </c>
      <c r="L343" s="7" t="s">
        <v>33</v>
      </c>
      <c r="M343" s="6">
        <v>43665</v>
      </c>
      <c r="N343" s="7" t="s">
        <v>34</v>
      </c>
    </row>
    <row x14ac:dyDescent="0.25" r="344" customHeight="1" ht="18.75">
      <c r="A344" s="6">
        <v>343</v>
      </c>
      <c r="B344" s="7" t="s">
        <v>676</v>
      </c>
      <c r="C344" s="6">
        <v>34</v>
      </c>
      <c r="D344" s="7" t="s">
        <v>47</v>
      </c>
      <c r="E344" s="6">
        <v>2</v>
      </c>
      <c r="F344" s="7" t="s">
        <v>774</v>
      </c>
      <c r="G344" s="7" t="s">
        <v>534</v>
      </c>
      <c r="H344" s="6">
        <v>2</v>
      </c>
      <c r="I344" s="8">
        <f>VLOOKUP(E344,diagnosis!$A$1:$B$11,2,FALSE)</f>
      </c>
      <c r="J344" s="8">
        <f>VLOOKUP(H344,outcomes!$A$1:$B$4,2,FALSE)</f>
      </c>
      <c r="K344" s="6">
        <f>G344-F344</f>
      </c>
      <c r="L344" s="7" t="s">
        <v>33</v>
      </c>
      <c r="M344" s="6">
        <v>74700</v>
      </c>
      <c r="N344" s="7" t="s">
        <v>39</v>
      </c>
    </row>
    <row x14ac:dyDescent="0.25" r="345" customHeight="1" ht="18.75">
      <c r="A345" s="6">
        <v>344</v>
      </c>
      <c r="B345" s="7" t="s">
        <v>775</v>
      </c>
      <c r="C345" s="6">
        <v>81</v>
      </c>
      <c r="D345" s="7" t="s">
        <v>47</v>
      </c>
      <c r="E345" s="6">
        <v>3</v>
      </c>
      <c r="F345" s="7" t="s">
        <v>776</v>
      </c>
      <c r="G345" s="7" t="s">
        <v>777</v>
      </c>
      <c r="H345" s="6">
        <v>3</v>
      </c>
      <c r="I345" s="8">
        <f>VLOOKUP(E345,diagnosis!$A$1:$B$11,2,FALSE)</f>
      </c>
      <c r="J345" s="8">
        <f>VLOOKUP(H345,outcomes!$A$1:$B$4,2,FALSE)</f>
      </c>
      <c r="K345" s="6">
        <f>G345-F345</f>
      </c>
      <c r="L345" s="7" t="s">
        <v>33</v>
      </c>
      <c r="M345" s="6">
        <v>46780</v>
      </c>
      <c r="N345" s="7" t="s">
        <v>39</v>
      </c>
    </row>
    <row x14ac:dyDescent="0.25" r="346" customHeight="1" ht="18.75">
      <c r="A346" s="6">
        <v>345</v>
      </c>
      <c r="B346" s="7" t="s">
        <v>778</v>
      </c>
      <c r="C346" s="6">
        <v>45</v>
      </c>
      <c r="D346" s="7" t="s">
        <v>47</v>
      </c>
      <c r="E346" s="6">
        <v>10</v>
      </c>
      <c r="F346" s="7" t="s">
        <v>779</v>
      </c>
      <c r="G346" s="7" t="s">
        <v>780</v>
      </c>
      <c r="H346" s="6">
        <v>3</v>
      </c>
      <c r="I346" s="8">
        <f>VLOOKUP(E346,diagnosis!$A$1:$B$11,2,FALSE)</f>
      </c>
      <c r="J346" s="8">
        <f>VLOOKUP(H346,outcomes!$A$1:$B$4,2,FALSE)</f>
      </c>
      <c r="K346" s="6">
        <f>G346-F346</f>
      </c>
      <c r="L346" s="7" t="s">
        <v>33</v>
      </c>
      <c r="M346" s="6">
        <v>91466</v>
      </c>
      <c r="N346" s="7" t="s">
        <v>50</v>
      </c>
    </row>
    <row x14ac:dyDescent="0.25" r="347" customHeight="1" ht="18.75">
      <c r="A347" s="6">
        <v>346</v>
      </c>
      <c r="B347" s="7" t="s">
        <v>684</v>
      </c>
      <c r="C347" s="6">
        <v>35</v>
      </c>
      <c r="D347" s="7" t="s">
        <v>30</v>
      </c>
      <c r="E347" s="6">
        <v>3</v>
      </c>
      <c r="F347" s="7" t="s">
        <v>590</v>
      </c>
      <c r="G347" s="7" t="s">
        <v>728</v>
      </c>
      <c r="H347" s="6">
        <v>2</v>
      </c>
      <c r="I347" s="8">
        <f>VLOOKUP(E347,diagnosis!$A$1:$B$11,2,FALSE)</f>
      </c>
      <c r="J347" s="8">
        <f>VLOOKUP(H347,outcomes!$A$1:$B$4,2,FALSE)</f>
      </c>
      <c r="K347" s="6">
        <f>G347-F347</f>
      </c>
      <c r="L347" s="7" t="s">
        <v>33</v>
      </c>
      <c r="M347" s="6">
        <v>79287</v>
      </c>
      <c r="N347" s="7" t="s">
        <v>34</v>
      </c>
    </row>
    <row x14ac:dyDescent="0.25" r="348" customHeight="1" ht="18.75">
      <c r="A348" s="6">
        <v>347</v>
      </c>
      <c r="B348" s="7" t="s">
        <v>571</v>
      </c>
      <c r="C348" s="6">
        <v>19</v>
      </c>
      <c r="D348" s="7" t="s">
        <v>47</v>
      </c>
      <c r="E348" s="6">
        <v>4</v>
      </c>
      <c r="F348" s="7" t="s">
        <v>781</v>
      </c>
      <c r="G348" s="7" t="s">
        <v>782</v>
      </c>
      <c r="H348" s="6">
        <v>3</v>
      </c>
      <c r="I348" s="8">
        <f>VLOOKUP(E348,diagnosis!$A$1:$B$11,2,FALSE)</f>
      </c>
      <c r="J348" s="8">
        <f>VLOOKUP(H348,outcomes!$A$1:$B$4,2,FALSE)</f>
      </c>
      <c r="K348" s="6">
        <f>G348-F348</f>
      </c>
      <c r="L348" s="7" t="s">
        <v>33</v>
      </c>
      <c r="M348" s="6">
        <v>24960</v>
      </c>
      <c r="N348" s="7" t="s">
        <v>34</v>
      </c>
    </row>
    <row x14ac:dyDescent="0.25" r="349" customHeight="1" ht="18.75">
      <c r="A349" s="6">
        <v>348</v>
      </c>
      <c r="B349" s="7" t="s">
        <v>336</v>
      </c>
      <c r="C349" s="6">
        <v>49</v>
      </c>
      <c r="D349" s="7" t="s">
        <v>47</v>
      </c>
      <c r="E349" s="6">
        <v>2</v>
      </c>
      <c r="F349" s="7" t="s">
        <v>783</v>
      </c>
      <c r="G349" s="7" t="s">
        <v>784</v>
      </c>
      <c r="H349" s="6">
        <v>3</v>
      </c>
      <c r="I349" s="8">
        <f>VLOOKUP(E349,diagnosis!$A$1:$B$11,2,FALSE)</f>
      </c>
      <c r="J349" s="8">
        <f>VLOOKUP(H349,outcomes!$A$1:$B$4,2,FALSE)</f>
      </c>
      <c r="K349" s="6">
        <f>G349-F349</f>
      </c>
      <c r="L349" s="7" t="s">
        <v>33</v>
      </c>
      <c r="M349" s="6">
        <v>30016</v>
      </c>
      <c r="N349" s="7" t="s">
        <v>50</v>
      </c>
    </row>
    <row x14ac:dyDescent="0.25" r="350" customHeight="1" ht="18.75">
      <c r="A350" s="6">
        <v>349</v>
      </c>
      <c r="B350" s="7" t="s">
        <v>785</v>
      </c>
      <c r="C350" s="6">
        <v>59</v>
      </c>
      <c r="D350" s="7" t="s">
        <v>47</v>
      </c>
      <c r="E350" s="6">
        <v>6</v>
      </c>
      <c r="F350" s="7" t="s">
        <v>786</v>
      </c>
      <c r="G350" s="7" t="s">
        <v>194</v>
      </c>
      <c r="H350" s="6">
        <v>3</v>
      </c>
      <c r="I350" s="8">
        <f>VLOOKUP(E350,diagnosis!$A$1:$B$11,2,FALSE)</f>
      </c>
      <c r="J350" s="8">
        <f>VLOOKUP(H350,outcomes!$A$1:$B$4,2,FALSE)</f>
      </c>
      <c r="K350" s="6">
        <f>G350-F350</f>
      </c>
      <c r="L350" s="7" t="s">
        <v>33</v>
      </c>
      <c r="M350" s="6">
        <v>56016</v>
      </c>
      <c r="N350" s="7" t="s">
        <v>34</v>
      </c>
    </row>
    <row x14ac:dyDescent="0.25" r="351" customHeight="1" ht="18.75">
      <c r="A351" s="6">
        <v>350</v>
      </c>
      <c r="B351" s="7" t="s">
        <v>197</v>
      </c>
      <c r="C351" s="6">
        <v>69</v>
      </c>
      <c r="D351" s="7" t="s">
        <v>47</v>
      </c>
      <c r="E351" s="6">
        <v>4</v>
      </c>
      <c r="F351" s="7" t="s">
        <v>787</v>
      </c>
      <c r="G351" s="7" t="s">
        <v>766</v>
      </c>
      <c r="H351" s="6">
        <v>2</v>
      </c>
      <c r="I351" s="8">
        <f>VLOOKUP(E351,diagnosis!$A$1:$B$11,2,FALSE)</f>
      </c>
      <c r="J351" s="8">
        <f>VLOOKUP(H351,outcomes!$A$1:$B$4,2,FALSE)</f>
      </c>
      <c r="K351" s="6">
        <f>G351-F351</f>
      </c>
      <c r="L351" s="7" t="s">
        <v>33</v>
      </c>
      <c r="M351" s="6">
        <v>14616</v>
      </c>
      <c r="N351" s="7" t="s">
        <v>34</v>
      </c>
    </row>
    <row x14ac:dyDescent="0.25" r="352" customHeight="1" ht="18.75">
      <c r="A352" s="6">
        <v>351</v>
      </c>
      <c r="B352" s="7" t="s">
        <v>274</v>
      </c>
      <c r="C352" s="6">
        <v>44</v>
      </c>
      <c r="D352" s="7" t="s">
        <v>30</v>
      </c>
      <c r="E352" s="6">
        <v>10</v>
      </c>
      <c r="F352" s="7" t="s">
        <v>579</v>
      </c>
      <c r="G352" s="7" t="s">
        <v>389</v>
      </c>
      <c r="H352" s="6">
        <v>2</v>
      </c>
      <c r="I352" s="8">
        <f>VLOOKUP(E352,diagnosis!$A$1:$B$11,2,FALSE)</f>
      </c>
      <c r="J352" s="8">
        <f>VLOOKUP(H352,outcomes!$A$1:$B$4,2,FALSE)</f>
      </c>
      <c r="K352" s="6">
        <f>G352-F352</f>
      </c>
      <c r="L352" s="7" t="s">
        <v>33</v>
      </c>
      <c r="M352" s="6">
        <v>20700</v>
      </c>
      <c r="N352" s="7" t="s">
        <v>39</v>
      </c>
    </row>
    <row x14ac:dyDescent="0.25" r="353" customHeight="1" ht="18.75">
      <c r="A353" s="6">
        <v>352</v>
      </c>
      <c r="B353" s="7" t="s">
        <v>478</v>
      </c>
      <c r="C353" s="6">
        <v>3</v>
      </c>
      <c r="D353" s="7" t="s">
        <v>30</v>
      </c>
      <c r="E353" s="6">
        <v>3</v>
      </c>
      <c r="F353" s="7" t="s">
        <v>788</v>
      </c>
      <c r="G353" s="7" t="s">
        <v>201</v>
      </c>
      <c r="H353" s="6">
        <v>2</v>
      </c>
      <c r="I353" s="8">
        <f>VLOOKUP(E353,diagnosis!$A$1:$B$11,2,FALSE)</f>
      </c>
      <c r="J353" s="8">
        <f>VLOOKUP(H353,outcomes!$A$1:$B$4,2,FALSE)</f>
      </c>
      <c r="K353" s="6">
        <f>G353-F353</f>
      </c>
      <c r="L353" s="7" t="s">
        <v>33</v>
      </c>
      <c r="M353" s="6">
        <v>58350</v>
      </c>
      <c r="N353" s="7" t="s">
        <v>34</v>
      </c>
    </row>
    <row x14ac:dyDescent="0.25" r="354" customHeight="1" ht="18.75">
      <c r="A354" s="6">
        <v>353</v>
      </c>
      <c r="B354" s="7" t="s">
        <v>789</v>
      </c>
      <c r="C354" s="6">
        <v>84</v>
      </c>
      <c r="D354" s="7" t="s">
        <v>47</v>
      </c>
      <c r="E354" s="6">
        <v>3</v>
      </c>
      <c r="F354" s="7" t="s">
        <v>790</v>
      </c>
      <c r="G354" s="7" t="s">
        <v>791</v>
      </c>
      <c r="H354" s="6">
        <v>2</v>
      </c>
      <c r="I354" s="8">
        <f>VLOOKUP(E354,diagnosis!$A$1:$B$11,2,FALSE)</f>
      </c>
      <c r="J354" s="8">
        <f>VLOOKUP(H354,outcomes!$A$1:$B$4,2,FALSE)</f>
      </c>
      <c r="K354" s="6">
        <f>G354-F354</f>
      </c>
      <c r="L354" s="7" t="s">
        <v>33</v>
      </c>
      <c r="M354" s="6">
        <v>19550</v>
      </c>
      <c r="N354" s="7" t="s">
        <v>50</v>
      </c>
    </row>
    <row x14ac:dyDescent="0.25" r="355" customHeight="1" ht="18.75">
      <c r="A355" s="6">
        <v>354</v>
      </c>
      <c r="B355" s="7" t="s">
        <v>731</v>
      </c>
      <c r="C355" s="6">
        <v>86</v>
      </c>
      <c r="D355" s="7" t="s">
        <v>30</v>
      </c>
      <c r="E355" s="6">
        <v>1</v>
      </c>
      <c r="F355" s="7" t="s">
        <v>140</v>
      </c>
      <c r="G355" s="7" t="s">
        <v>792</v>
      </c>
      <c r="H355" s="6">
        <v>2</v>
      </c>
      <c r="I355" s="8">
        <f>VLOOKUP(E355,diagnosis!$A$1:$B$11,2,FALSE)</f>
      </c>
      <c r="J355" s="8">
        <f>VLOOKUP(H355,outcomes!$A$1:$B$4,2,FALSE)</f>
      </c>
      <c r="K355" s="6">
        <f>G355-F355</f>
      </c>
      <c r="L355" s="7" t="s">
        <v>33</v>
      </c>
      <c r="M355" s="6">
        <v>40392</v>
      </c>
      <c r="N355" s="7" t="s">
        <v>39</v>
      </c>
    </row>
    <row x14ac:dyDescent="0.25" r="356" customHeight="1" ht="18.75">
      <c r="A356" s="6">
        <v>355</v>
      </c>
      <c r="B356" s="7" t="s">
        <v>196</v>
      </c>
      <c r="C356" s="6">
        <v>13</v>
      </c>
      <c r="D356" s="7" t="s">
        <v>30</v>
      </c>
      <c r="E356" s="6">
        <v>4</v>
      </c>
      <c r="F356" s="7" t="s">
        <v>412</v>
      </c>
      <c r="G356" s="7" t="s">
        <v>356</v>
      </c>
      <c r="H356" s="6">
        <v>2</v>
      </c>
      <c r="I356" s="8">
        <f>VLOOKUP(E356,diagnosis!$A$1:$B$11,2,FALSE)</f>
      </c>
      <c r="J356" s="8">
        <f>VLOOKUP(H356,outcomes!$A$1:$B$4,2,FALSE)</f>
      </c>
      <c r="K356" s="6">
        <f>G356-F356</f>
      </c>
      <c r="L356" s="7" t="s">
        <v>38</v>
      </c>
      <c r="M356" s="6">
        <v>12216</v>
      </c>
      <c r="N356" s="7" t="s">
        <v>34</v>
      </c>
    </row>
    <row x14ac:dyDescent="0.25" r="357" customHeight="1" ht="18.75">
      <c r="A357" s="6">
        <v>356</v>
      </c>
      <c r="B357" s="7" t="s">
        <v>793</v>
      </c>
      <c r="C357" s="6">
        <v>88</v>
      </c>
      <c r="D357" s="7" t="s">
        <v>47</v>
      </c>
      <c r="E357" s="6">
        <v>1</v>
      </c>
      <c r="F357" s="7" t="s">
        <v>435</v>
      </c>
      <c r="G357" s="7" t="s">
        <v>209</v>
      </c>
      <c r="H357" s="6">
        <v>1</v>
      </c>
      <c r="I357" s="8">
        <f>VLOOKUP(E357,diagnosis!$A$1:$B$11,2,FALSE)</f>
      </c>
      <c r="J357" s="8">
        <f>VLOOKUP(H357,outcomes!$A$1:$B$4,2,FALSE)</f>
      </c>
      <c r="K357" s="6">
        <f>G357-F357</f>
      </c>
      <c r="L357" s="7" t="s">
        <v>33</v>
      </c>
      <c r="M357" s="6">
        <v>56933</v>
      </c>
      <c r="N357" s="7" t="s">
        <v>50</v>
      </c>
    </row>
    <row x14ac:dyDescent="0.25" r="358" customHeight="1" ht="18.75">
      <c r="A358" s="6">
        <v>357</v>
      </c>
      <c r="B358" s="7" t="s">
        <v>794</v>
      </c>
      <c r="C358" s="6">
        <v>62</v>
      </c>
      <c r="D358" s="7" t="s">
        <v>30</v>
      </c>
      <c r="E358" s="6">
        <v>4</v>
      </c>
      <c r="F358" s="7" t="s">
        <v>36</v>
      </c>
      <c r="G358" s="7" t="s">
        <v>795</v>
      </c>
      <c r="H358" s="6">
        <v>2</v>
      </c>
      <c r="I358" s="8">
        <f>VLOOKUP(E358,diagnosis!$A$1:$B$11,2,FALSE)</f>
      </c>
      <c r="J358" s="8">
        <f>VLOOKUP(H358,outcomes!$A$1:$B$4,2,FALSE)</f>
      </c>
      <c r="K358" s="6">
        <f>G358-F358</f>
      </c>
      <c r="L358" s="7" t="s">
        <v>33</v>
      </c>
      <c r="M358" s="6">
        <v>14685</v>
      </c>
      <c r="N358" s="7" t="s">
        <v>50</v>
      </c>
    </row>
    <row x14ac:dyDescent="0.25" r="359" customHeight="1" ht="18.75">
      <c r="A359" s="6">
        <v>358</v>
      </c>
      <c r="B359" s="7" t="s">
        <v>796</v>
      </c>
      <c r="C359" s="6">
        <v>39</v>
      </c>
      <c r="D359" s="7" t="s">
        <v>30</v>
      </c>
      <c r="E359" s="6">
        <v>7</v>
      </c>
      <c r="F359" s="7" t="s">
        <v>797</v>
      </c>
      <c r="G359" s="7" t="s">
        <v>578</v>
      </c>
      <c r="H359" s="6">
        <v>1</v>
      </c>
      <c r="I359" s="8">
        <f>VLOOKUP(E359,diagnosis!$A$1:$B$11,2,FALSE)</f>
      </c>
      <c r="J359" s="8">
        <f>VLOOKUP(H359,outcomes!$A$1:$B$4,2,FALSE)</f>
      </c>
      <c r="K359" s="6">
        <f>G359-F359</f>
      </c>
      <c r="L359" s="7" t="s">
        <v>33</v>
      </c>
      <c r="M359" s="6">
        <v>58536</v>
      </c>
      <c r="N359" s="7" t="s">
        <v>50</v>
      </c>
    </row>
    <row x14ac:dyDescent="0.25" r="360" customHeight="1" ht="18.75">
      <c r="A360" s="6">
        <v>359</v>
      </c>
      <c r="B360" s="7" t="s">
        <v>498</v>
      </c>
      <c r="C360" s="6">
        <v>2</v>
      </c>
      <c r="D360" s="7" t="s">
        <v>30</v>
      </c>
      <c r="E360" s="6">
        <v>8</v>
      </c>
      <c r="F360" s="7" t="s">
        <v>798</v>
      </c>
      <c r="G360" s="7" t="s">
        <v>799</v>
      </c>
      <c r="H360" s="6">
        <v>2</v>
      </c>
      <c r="I360" s="8">
        <f>VLOOKUP(E360,diagnosis!$A$1:$B$11,2,FALSE)</f>
      </c>
      <c r="J360" s="8">
        <f>VLOOKUP(H360,outcomes!$A$1:$B$4,2,FALSE)</f>
      </c>
      <c r="K360" s="6">
        <f>G360-F360</f>
      </c>
      <c r="L360" s="7" t="s">
        <v>33</v>
      </c>
      <c r="M360" s="6">
        <v>64733</v>
      </c>
      <c r="N360" s="7" t="s">
        <v>34</v>
      </c>
    </row>
    <row x14ac:dyDescent="0.25" r="361" customHeight="1" ht="18.75">
      <c r="A361" s="6">
        <v>360</v>
      </c>
      <c r="B361" s="7" t="s">
        <v>431</v>
      </c>
      <c r="C361" s="6">
        <v>88</v>
      </c>
      <c r="D361" s="7" t="s">
        <v>47</v>
      </c>
      <c r="E361" s="6">
        <v>4</v>
      </c>
      <c r="F361" s="7" t="s">
        <v>317</v>
      </c>
      <c r="G361" s="7" t="s">
        <v>509</v>
      </c>
      <c r="H361" s="6">
        <v>1</v>
      </c>
      <c r="I361" s="8">
        <f>VLOOKUP(E361,diagnosis!$A$1:$B$11,2,FALSE)</f>
      </c>
      <c r="J361" s="8">
        <f>VLOOKUP(H361,outcomes!$A$1:$B$4,2,FALSE)</f>
      </c>
      <c r="K361" s="6">
        <f>G361-F361</f>
      </c>
      <c r="L361" s="7" t="s">
        <v>33</v>
      </c>
      <c r="M361" s="6">
        <v>49020</v>
      </c>
      <c r="N361" s="7" t="s">
        <v>50</v>
      </c>
    </row>
    <row x14ac:dyDescent="0.25" r="362" customHeight="1" ht="18.75">
      <c r="A362" s="6">
        <v>361</v>
      </c>
      <c r="B362" s="7" t="s">
        <v>580</v>
      </c>
      <c r="C362" s="6">
        <v>55</v>
      </c>
      <c r="D362" s="7" t="s">
        <v>47</v>
      </c>
      <c r="E362" s="6">
        <v>3</v>
      </c>
      <c r="F362" s="7" t="s">
        <v>715</v>
      </c>
      <c r="G362" s="7" t="s">
        <v>800</v>
      </c>
      <c r="H362" s="6">
        <v>1</v>
      </c>
      <c r="I362" s="8">
        <f>VLOOKUP(E362,diagnosis!$A$1:$B$11,2,FALSE)</f>
      </c>
      <c r="J362" s="8">
        <f>VLOOKUP(H362,outcomes!$A$1:$B$4,2,FALSE)</f>
      </c>
      <c r="K362" s="6">
        <f>G362-F362</f>
      </c>
      <c r="L362" s="7" t="s">
        <v>33</v>
      </c>
      <c r="M362" s="6">
        <v>49488</v>
      </c>
      <c r="N362" s="7" t="s">
        <v>39</v>
      </c>
    </row>
    <row x14ac:dyDescent="0.25" r="363" customHeight="1" ht="18.75">
      <c r="A363" s="6">
        <v>362</v>
      </c>
      <c r="B363" s="7" t="s">
        <v>801</v>
      </c>
      <c r="C363" s="6">
        <v>85</v>
      </c>
      <c r="D363" s="7" t="s">
        <v>47</v>
      </c>
      <c r="E363" s="6">
        <v>4</v>
      </c>
      <c r="F363" s="7" t="s">
        <v>142</v>
      </c>
      <c r="G363" s="7" t="s">
        <v>555</v>
      </c>
      <c r="H363" s="6">
        <v>3</v>
      </c>
      <c r="I363" s="8">
        <f>VLOOKUP(E363,diagnosis!$A$1:$B$11,2,FALSE)</f>
      </c>
      <c r="J363" s="8">
        <f>VLOOKUP(H363,outcomes!$A$1:$B$4,2,FALSE)</f>
      </c>
      <c r="K363" s="6">
        <f>G363-F363</f>
      </c>
      <c r="L363" s="7" t="s">
        <v>33</v>
      </c>
      <c r="M363" s="6">
        <v>3298</v>
      </c>
      <c r="N363" s="7" t="s">
        <v>39</v>
      </c>
    </row>
    <row x14ac:dyDescent="0.25" r="364" customHeight="1" ht="18.75">
      <c r="A364" s="6">
        <v>363</v>
      </c>
      <c r="B364" s="7" t="s">
        <v>802</v>
      </c>
      <c r="C364" s="6">
        <v>83</v>
      </c>
      <c r="D364" s="7" t="s">
        <v>30</v>
      </c>
      <c r="E364" s="6">
        <v>4</v>
      </c>
      <c r="F364" s="7" t="s">
        <v>803</v>
      </c>
      <c r="G364" s="7" t="s">
        <v>244</v>
      </c>
      <c r="H364" s="6">
        <v>2</v>
      </c>
      <c r="I364" s="8">
        <f>VLOOKUP(E364,diagnosis!$A$1:$B$11,2,FALSE)</f>
      </c>
      <c r="J364" s="8">
        <f>VLOOKUP(H364,outcomes!$A$1:$B$4,2,FALSE)</f>
      </c>
      <c r="K364" s="6">
        <f>G364-F364</f>
      </c>
      <c r="L364" s="7" t="s">
        <v>33</v>
      </c>
      <c r="M364" s="6">
        <v>43270</v>
      </c>
      <c r="N364" s="7" t="s">
        <v>50</v>
      </c>
    </row>
    <row x14ac:dyDescent="0.25" r="365" customHeight="1" ht="18.75">
      <c r="A365" s="6">
        <v>364</v>
      </c>
      <c r="B365" s="7" t="s">
        <v>804</v>
      </c>
      <c r="C365" s="6">
        <v>10</v>
      </c>
      <c r="D365" s="7" t="s">
        <v>30</v>
      </c>
      <c r="E365" s="6">
        <v>6</v>
      </c>
      <c r="F365" s="7" t="s">
        <v>805</v>
      </c>
      <c r="G365" s="7" t="s">
        <v>806</v>
      </c>
      <c r="H365" s="6">
        <v>2</v>
      </c>
      <c r="I365" s="8">
        <f>VLOOKUP(E365,diagnosis!$A$1:$B$11,2,FALSE)</f>
      </c>
      <c r="J365" s="8">
        <f>VLOOKUP(H365,outcomes!$A$1:$B$4,2,FALSE)</f>
      </c>
      <c r="K365" s="6">
        <f>G365-F365</f>
      </c>
      <c r="L365" s="7" t="s">
        <v>33</v>
      </c>
      <c r="M365" s="6">
        <v>71860</v>
      </c>
      <c r="N365" s="7" t="s">
        <v>34</v>
      </c>
    </row>
    <row x14ac:dyDescent="0.25" r="366" customHeight="1" ht="18.75">
      <c r="A366" s="6">
        <v>365</v>
      </c>
      <c r="B366" s="7" t="s">
        <v>225</v>
      </c>
      <c r="C366" s="6">
        <v>70</v>
      </c>
      <c r="D366" s="7" t="s">
        <v>30</v>
      </c>
      <c r="E366" s="6">
        <v>8</v>
      </c>
      <c r="F366" s="7" t="s">
        <v>807</v>
      </c>
      <c r="G366" s="7" t="s">
        <v>808</v>
      </c>
      <c r="H366" s="6">
        <v>1</v>
      </c>
      <c r="I366" s="8">
        <f>VLOOKUP(E366,diagnosis!$A$1:$B$11,2,FALSE)</f>
      </c>
      <c r="J366" s="8">
        <f>VLOOKUP(H366,outcomes!$A$1:$B$4,2,FALSE)</f>
      </c>
      <c r="K366" s="6">
        <f>G366-F366</f>
      </c>
      <c r="L366" s="7" t="s">
        <v>33</v>
      </c>
      <c r="M366" s="6">
        <v>41472</v>
      </c>
      <c r="N366" s="7" t="s">
        <v>34</v>
      </c>
    </row>
    <row x14ac:dyDescent="0.25" r="367" customHeight="1" ht="18.75">
      <c r="A367" s="6">
        <v>366</v>
      </c>
      <c r="B367" s="7" t="s">
        <v>565</v>
      </c>
      <c r="C367" s="6">
        <v>28</v>
      </c>
      <c r="D367" s="7" t="s">
        <v>30</v>
      </c>
      <c r="E367" s="6">
        <v>1</v>
      </c>
      <c r="F367" s="7" t="s">
        <v>628</v>
      </c>
      <c r="G367" s="7" t="s">
        <v>809</v>
      </c>
      <c r="H367" s="6">
        <v>2</v>
      </c>
      <c r="I367" s="8">
        <f>VLOOKUP(E367,diagnosis!$A$1:$B$11,2,FALSE)</f>
      </c>
      <c r="J367" s="8">
        <f>VLOOKUP(H367,outcomes!$A$1:$B$4,2,FALSE)</f>
      </c>
      <c r="K367" s="6">
        <f>G367-F367</f>
      </c>
      <c r="L367" s="7" t="s">
        <v>33</v>
      </c>
      <c r="M367" s="6">
        <v>43524</v>
      </c>
      <c r="N367" s="7" t="s">
        <v>39</v>
      </c>
    </row>
    <row x14ac:dyDescent="0.25" r="368" customHeight="1" ht="18.75">
      <c r="A368" s="6">
        <v>367</v>
      </c>
      <c r="B368" s="7" t="s">
        <v>84</v>
      </c>
      <c r="C368" s="6">
        <v>90</v>
      </c>
      <c r="D368" s="7" t="s">
        <v>47</v>
      </c>
      <c r="E368" s="6">
        <v>2</v>
      </c>
      <c r="F368" s="7" t="s">
        <v>810</v>
      </c>
      <c r="G368" s="7" t="s">
        <v>36</v>
      </c>
      <c r="H368" s="6">
        <v>3</v>
      </c>
      <c r="I368" s="8">
        <f>VLOOKUP(E368,diagnosis!$A$1:$B$11,2,FALSE)</f>
      </c>
      <c r="J368" s="8">
        <f>VLOOKUP(H368,outcomes!$A$1:$B$4,2,FALSE)</f>
      </c>
      <c r="K368" s="6">
        <f>G368-F368</f>
      </c>
      <c r="L368" s="7" t="s">
        <v>33</v>
      </c>
      <c r="M368" s="6">
        <v>44478</v>
      </c>
      <c r="N368" s="7" t="s">
        <v>50</v>
      </c>
    </row>
    <row x14ac:dyDescent="0.25" r="369" customHeight="1" ht="18.75">
      <c r="A369" s="6">
        <v>368</v>
      </c>
      <c r="B369" s="7" t="s">
        <v>743</v>
      </c>
      <c r="C369" s="6">
        <v>11</v>
      </c>
      <c r="D369" s="7" t="s">
        <v>47</v>
      </c>
      <c r="E369" s="6">
        <v>2</v>
      </c>
      <c r="F369" s="7" t="s">
        <v>426</v>
      </c>
      <c r="G369" s="7" t="s">
        <v>501</v>
      </c>
      <c r="H369" s="6">
        <v>3</v>
      </c>
      <c r="I369" s="8">
        <f>VLOOKUP(E369,diagnosis!$A$1:$B$11,2,FALSE)</f>
      </c>
      <c r="J369" s="8">
        <f>VLOOKUP(H369,outcomes!$A$1:$B$4,2,FALSE)</f>
      </c>
      <c r="K369" s="6">
        <f>G369-F369</f>
      </c>
      <c r="L369" s="7" t="s">
        <v>33</v>
      </c>
      <c r="M369" s="6">
        <v>23022</v>
      </c>
      <c r="N369" s="7" t="s">
        <v>39</v>
      </c>
    </row>
    <row x14ac:dyDescent="0.25" r="370" customHeight="1" ht="18.75">
      <c r="A370" s="6">
        <v>369</v>
      </c>
      <c r="B370" s="7" t="s">
        <v>378</v>
      </c>
      <c r="C370" s="6">
        <v>76</v>
      </c>
      <c r="D370" s="7" t="s">
        <v>30</v>
      </c>
      <c r="E370" s="6">
        <v>5</v>
      </c>
      <c r="F370" s="7" t="s">
        <v>811</v>
      </c>
      <c r="G370" s="7" t="s">
        <v>597</v>
      </c>
      <c r="H370" s="6">
        <v>3</v>
      </c>
      <c r="I370" s="8">
        <f>VLOOKUP(E370,diagnosis!$A$1:$B$11,2,FALSE)</f>
      </c>
      <c r="J370" s="8">
        <f>VLOOKUP(H370,outcomes!$A$1:$B$4,2,FALSE)</f>
      </c>
      <c r="K370" s="6">
        <f>G370-F370</f>
      </c>
      <c r="L370" s="7" t="s">
        <v>33</v>
      </c>
      <c r="M370" s="6">
        <v>42055</v>
      </c>
      <c r="N370" s="7" t="s">
        <v>34</v>
      </c>
    </row>
    <row x14ac:dyDescent="0.25" r="371" customHeight="1" ht="18.75">
      <c r="A371" s="6">
        <v>370</v>
      </c>
      <c r="B371" s="7" t="s">
        <v>640</v>
      </c>
      <c r="C371" s="6">
        <v>56</v>
      </c>
      <c r="D371" s="7" t="s">
        <v>30</v>
      </c>
      <c r="E371" s="6">
        <v>8</v>
      </c>
      <c r="F371" s="7" t="s">
        <v>704</v>
      </c>
      <c r="G371" s="7" t="s">
        <v>812</v>
      </c>
      <c r="H371" s="6">
        <v>3</v>
      </c>
      <c r="I371" s="8">
        <f>VLOOKUP(E371,diagnosis!$A$1:$B$11,2,FALSE)</f>
      </c>
      <c r="J371" s="8">
        <f>VLOOKUP(H371,outcomes!$A$1:$B$4,2,FALSE)</f>
      </c>
      <c r="K371" s="6">
        <f>G371-F371</f>
      </c>
      <c r="L371" s="7" t="s">
        <v>60</v>
      </c>
      <c r="M371" s="6">
        <v>6918</v>
      </c>
      <c r="N371" s="7" t="s">
        <v>39</v>
      </c>
    </row>
    <row x14ac:dyDescent="0.25" r="372" customHeight="1" ht="18.75">
      <c r="A372" s="6">
        <v>371</v>
      </c>
      <c r="B372" s="7" t="s">
        <v>813</v>
      </c>
      <c r="C372" s="6">
        <v>2</v>
      </c>
      <c r="D372" s="7" t="s">
        <v>30</v>
      </c>
      <c r="E372" s="6">
        <v>1</v>
      </c>
      <c r="F372" s="7" t="s">
        <v>814</v>
      </c>
      <c r="G372" s="7" t="s">
        <v>815</v>
      </c>
      <c r="H372" s="6">
        <v>1</v>
      </c>
      <c r="I372" s="8">
        <f>VLOOKUP(E372,diagnosis!$A$1:$B$11,2,FALSE)</f>
      </c>
      <c r="J372" s="8">
        <f>VLOOKUP(H372,outcomes!$A$1:$B$4,2,FALSE)</f>
      </c>
      <c r="K372" s="6">
        <f>G372-F372</f>
      </c>
      <c r="L372" s="7" t="s">
        <v>60</v>
      </c>
      <c r="M372" s="6">
        <v>8100</v>
      </c>
      <c r="N372" s="7" t="s">
        <v>39</v>
      </c>
    </row>
    <row x14ac:dyDescent="0.25" r="373" customHeight="1" ht="18.75">
      <c r="A373" s="6">
        <v>372</v>
      </c>
      <c r="B373" s="7" t="s">
        <v>816</v>
      </c>
      <c r="C373" s="6">
        <v>22</v>
      </c>
      <c r="D373" s="7" t="s">
        <v>47</v>
      </c>
      <c r="E373" s="6">
        <v>3</v>
      </c>
      <c r="F373" s="7" t="s">
        <v>817</v>
      </c>
      <c r="G373" s="7" t="s">
        <v>818</v>
      </c>
      <c r="H373" s="6">
        <v>3</v>
      </c>
      <c r="I373" s="8">
        <f>VLOOKUP(E373,diagnosis!$A$1:$B$11,2,FALSE)</f>
      </c>
      <c r="J373" s="8">
        <f>VLOOKUP(H373,outcomes!$A$1:$B$4,2,FALSE)</f>
      </c>
      <c r="K373" s="6">
        <f>G373-F373</f>
      </c>
      <c r="L373" s="7" t="s">
        <v>33</v>
      </c>
      <c r="M373" s="6">
        <v>20592</v>
      </c>
      <c r="N373" s="7" t="s">
        <v>50</v>
      </c>
    </row>
    <row x14ac:dyDescent="0.25" r="374" customHeight="1" ht="18.75">
      <c r="A374" s="6">
        <v>373</v>
      </c>
      <c r="B374" s="7" t="s">
        <v>29</v>
      </c>
      <c r="C374" s="6">
        <v>35</v>
      </c>
      <c r="D374" s="7" t="s">
        <v>30</v>
      </c>
      <c r="E374" s="6">
        <v>5</v>
      </c>
      <c r="F374" s="7" t="s">
        <v>819</v>
      </c>
      <c r="G374" s="7" t="s">
        <v>690</v>
      </c>
      <c r="H374" s="6">
        <v>3</v>
      </c>
      <c r="I374" s="8">
        <f>VLOOKUP(E374,diagnosis!$A$1:$B$11,2,FALSE)</f>
      </c>
      <c r="J374" s="8">
        <f>VLOOKUP(H374,outcomes!$A$1:$B$4,2,FALSE)</f>
      </c>
      <c r="K374" s="6">
        <f>G374-F374</f>
      </c>
      <c r="L374" s="7" t="s">
        <v>33</v>
      </c>
      <c r="M374" s="6">
        <v>31878</v>
      </c>
      <c r="N374" s="7" t="s">
        <v>39</v>
      </c>
    </row>
    <row x14ac:dyDescent="0.25" r="375" customHeight="1" ht="18.75">
      <c r="A375" s="6">
        <v>374</v>
      </c>
      <c r="B375" s="7" t="s">
        <v>820</v>
      </c>
      <c r="C375" s="6">
        <v>47</v>
      </c>
      <c r="D375" s="7" t="s">
        <v>30</v>
      </c>
      <c r="E375" s="6">
        <v>8</v>
      </c>
      <c r="F375" s="7" t="s">
        <v>338</v>
      </c>
      <c r="G375" s="7" t="s">
        <v>821</v>
      </c>
      <c r="H375" s="6">
        <v>3</v>
      </c>
      <c r="I375" s="8">
        <f>VLOOKUP(E375,diagnosis!$A$1:$B$11,2,FALSE)</f>
      </c>
      <c r="J375" s="8">
        <f>VLOOKUP(H375,outcomes!$A$1:$B$4,2,FALSE)</f>
      </c>
      <c r="K375" s="6">
        <f>G375-F375</f>
      </c>
      <c r="L375" s="7" t="s">
        <v>33</v>
      </c>
      <c r="M375" s="6">
        <v>64124</v>
      </c>
      <c r="N375" s="7" t="s">
        <v>34</v>
      </c>
    </row>
    <row x14ac:dyDescent="0.25" r="376" customHeight="1" ht="18.75">
      <c r="A376" s="6">
        <v>375</v>
      </c>
      <c r="B376" s="7" t="s">
        <v>240</v>
      </c>
      <c r="C376" s="6">
        <v>74</v>
      </c>
      <c r="D376" s="7" t="s">
        <v>30</v>
      </c>
      <c r="E376" s="6">
        <v>4</v>
      </c>
      <c r="F376" s="7" t="s">
        <v>486</v>
      </c>
      <c r="G376" s="7" t="s">
        <v>822</v>
      </c>
      <c r="H376" s="6">
        <v>3</v>
      </c>
      <c r="I376" s="8">
        <f>VLOOKUP(E376,diagnosis!$A$1:$B$11,2,FALSE)</f>
      </c>
      <c r="J376" s="8">
        <f>VLOOKUP(H376,outcomes!$A$1:$B$4,2,FALSE)</f>
      </c>
      <c r="K376" s="6">
        <f>G376-F376</f>
      </c>
      <c r="L376" s="7" t="s">
        <v>33</v>
      </c>
      <c r="M376" s="6">
        <v>8004</v>
      </c>
      <c r="N376" s="7" t="s">
        <v>34</v>
      </c>
    </row>
    <row x14ac:dyDescent="0.25" r="377" customHeight="1" ht="18.75">
      <c r="A377" s="6">
        <v>376</v>
      </c>
      <c r="B377" s="7" t="s">
        <v>823</v>
      </c>
      <c r="C377" s="6">
        <v>6</v>
      </c>
      <c r="D377" s="7" t="s">
        <v>47</v>
      </c>
      <c r="E377" s="6">
        <v>6</v>
      </c>
      <c r="F377" s="7" t="s">
        <v>697</v>
      </c>
      <c r="G377" s="7" t="s">
        <v>824</v>
      </c>
      <c r="H377" s="6">
        <v>2</v>
      </c>
      <c r="I377" s="8">
        <f>VLOOKUP(E377,diagnosis!$A$1:$B$11,2,FALSE)</f>
      </c>
      <c r="J377" s="8">
        <f>VLOOKUP(H377,outcomes!$A$1:$B$4,2,FALSE)</f>
      </c>
      <c r="K377" s="6">
        <f>G377-F377</f>
      </c>
      <c r="L377" s="7" t="s">
        <v>33</v>
      </c>
      <c r="M377" s="6">
        <v>29824</v>
      </c>
      <c r="N377" s="7" t="s">
        <v>39</v>
      </c>
    </row>
    <row x14ac:dyDescent="0.25" r="378" customHeight="1" ht="18.75">
      <c r="A378" s="6">
        <v>377</v>
      </c>
      <c r="B378" s="7" t="s">
        <v>484</v>
      </c>
      <c r="C378" s="6">
        <v>42</v>
      </c>
      <c r="D378" s="7" t="s">
        <v>30</v>
      </c>
      <c r="E378" s="6">
        <v>7</v>
      </c>
      <c r="F378" s="7" t="s">
        <v>667</v>
      </c>
      <c r="G378" s="7" t="s">
        <v>37</v>
      </c>
      <c r="H378" s="6">
        <v>3</v>
      </c>
      <c r="I378" s="8">
        <f>VLOOKUP(E378,diagnosis!$A$1:$B$11,2,FALSE)</f>
      </c>
      <c r="J378" s="8">
        <f>VLOOKUP(H378,outcomes!$A$1:$B$4,2,FALSE)</f>
      </c>
      <c r="K378" s="6">
        <f>G378-F378</f>
      </c>
      <c r="L378" s="7" t="s">
        <v>33</v>
      </c>
      <c r="M378" s="6">
        <v>21104</v>
      </c>
      <c r="N378" s="7" t="s">
        <v>39</v>
      </c>
    </row>
    <row x14ac:dyDescent="0.25" r="379" customHeight="1" ht="18.75">
      <c r="A379" s="6">
        <v>378</v>
      </c>
      <c r="B379" s="7" t="s">
        <v>173</v>
      </c>
      <c r="C379" s="6">
        <v>65</v>
      </c>
      <c r="D379" s="7" t="s">
        <v>30</v>
      </c>
      <c r="E379" s="6">
        <v>3</v>
      </c>
      <c r="F379" s="7" t="s">
        <v>825</v>
      </c>
      <c r="G379" s="7" t="s">
        <v>536</v>
      </c>
      <c r="H379" s="6">
        <v>1</v>
      </c>
      <c r="I379" s="8">
        <f>VLOOKUP(E379,diagnosis!$A$1:$B$11,2,FALSE)</f>
      </c>
      <c r="J379" s="8">
        <f>VLOOKUP(H379,outcomes!$A$1:$B$4,2,FALSE)</f>
      </c>
      <c r="K379" s="6">
        <f>G379-F379</f>
      </c>
      <c r="L379" s="7" t="s">
        <v>33</v>
      </c>
      <c r="M379" s="6">
        <v>10960</v>
      </c>
      <c r="N379" s="7" t="s">
        <v>34</v>
      </c>
    </row>
    <row x14ac:dyDescent="0.25" r="380" customHeight="1" ht="18.75">
      <c r="A380" s="6">
        <v>379</v>
      </c>
      <c r="B380" s="7" t="s">
        <v>826</v>
      </c>
      <c r="C380" s="6">
        <v>37</v>
      </c>
      <c r="D380" s="7" t="s">
        <v>47</v>
      </c>
      <c r="E380" s="6">
        <v>6</v>
      </c>
      <c r="F380" s="7" t="s">
        <v>483</v>
      </c>
      <c r="G380" s="7" t="s">
        <v>827</v>
      </c>
      <c r="H380" s="6">
        <v>1</v>
      </c>
      <c r="I380" s="8">
        <f>VLOOKUP(E380,diagnosis!$A$1:$B$11,2,FALSE)</f>
      </c>
      <c r="J380" s="8">
        <f>VLOOKUP(H380,outcomes!$A$1:$B$4,2,FALSE)</f>
      </c>
      <c r="K380" s="6">
        <f>G380-F380</f>
      </c>
      <c r="L380" s="7" t="s">
        <v>33</v>
      </c>
      <c r="M380" s="6">
        <v>34275</v>
      </c>
      <c r="N380" s="7" t="s">
        <v>34</v>
      </c>
    </row>
    <row x14ac:dyDescent="0.25" r="381" customHeight="1" ht="18.75">
      <c r="A381" s="6">
        <v>380</v>
      </c>
      <c r="B381" s="7" t="s">
        <v>828</v>
      </c>
      <c r="C381" s="6">
        <v>38</v>
      </c>
      <c r="D381" s="7" t="s">
        <v>47</v>
      </c>
      <c r="E381" s="6">
        <v>10</v>
      </c>
      <c r="F381" s="7" t="s">
        <v>267</v>
      </c>
      <c r="G381" s="7" t="s">
        <v>829</v>
      </c>
      <c r="H381" s="6">
        <v>1</v>
      </c>
      <c r="I381" s="8">
        <f>VLOOKUP(E381,diagnosis!$A$1:$B$11,2,FALSE)</f>
      </c>
      <c r="J381" s="8">
        <f>VLOOKUP(H381,outcomes!$A$1:$B$4,2,FALSE)</f>
      </c>
      <c r="K381" s="6">
        <f>G381-F381</f>
      </c>
      <c r="L381" s="7" t="s">
        <v>60</v>
      </c>
      <c r="M381" s="6">
        <v>17654</v>
      </c>
      <c r="N381" s="7" t="s">
        <v>34</v>
      </c>
    </row>
    <row x14ac:dyDescent="0.25" r="382" customHeight="1" ht="18.75">
      <c r="A382" s="6">
        <v>381</v>
      </c>
      <c r="B382" s="7" t="s">
        <v>367</v>
      </c>
      <c r="C382" s="6">
        <v>70</v>
      </c>
      <c r="D382" s="7" t="s">
        <v>30</v>
      </c>
      <c r="E382" s="6">
        <v>3</v>
      </c>
      <c r="F382" s="7" t="s">
        <v>830</v>
      </c>
      <c r="G382" s="7" t="s">
        <v>371</v>
      </c>
      <c r="H382" s="6">
        <v>1</v>
      </c>
      <c r="I382" s="8">
        <f>VLOOKUP(E382,diagnosis!$A$1:$B$11,2,FALSE)</f>
      </c>
      <c r="J382" s="8">
        <f>VLOOKUP(H382,outcomes!$A$1:$B$4,2,FALSE)</f>
      </c>
      <c r="K382" s="6">
        <f>G382-F382</f>
      </c>
      <c r="L382" s="7" t="s">
        <v>33</v>
      </c>
      <c r="M382" s="6">
        <v>32620</v>
      </c>
      <c r="N382" s="7" t="s">
        <v>34</v>
      </c>
    </row>
    <row x14ac:dyDescent="0.25" r="383" customHeight="1" ht="18.75">
      <c r="A383" s="6">
        <v>382</v>
      </c>
      <c r="B383" s="7" t="s">
        <v>831</v>
      </c>
      <c r="C383" s="6">
        <v>43</v>
      </c>
      <c r="D383" s="7" t="s">
        <v>30</v>
      </c>
      <c r="E383" s="6">
        <v>7</v>
      </c>
      <c r="F383" s="7" t="s">
        <v>832</v>
      </c>
      <c r="G383" s="7" t="s">
        <v>833</v>
      </c>
      <c r="H383" s="6">
        <v>3</v>
      </c>
      <c r="I383" s="8">
        <f>VLOOKUP(E383,diagnosis!$A$1:$B$11,2,FALSE)</f>
      </c>
      <c r="J383" s="8">
        <f>VLOOKUP(H383,outcomes!$A$1:$B$4,2,FALSE)</f>
      </c>
      <c r="K383" s="6">
        <f>G383-F383</f>
      </c>
      <c r="L383" s="7" t="s">
        <v>60</v>
      </c>
      <c r="M383" s="6">
        <v>2802</v>
      </c>
      <c r="N383" s="7" t="s">
        <v>34</v>
      </c>
    </row>
    <row x14ac:dyDescent="0.25" r="384" customHeight="1" ht="18.75">
      <c r="A384" s="6">
        <v>383</v>
      </c>
      <c r="B384" s="7" t="s">
        <v>643</v>
      </c>
      <c r="C384" s="6">
        <v>31</v>
      </c>
      <c r="D384" s="7" t="s">
        <v>47</v>
      </c>
      <c r="E384" s="6">
        <v>8</v>
      </c>
      <c r="F384" s="7" t="s">
        <v>366</v>
      </c>
      <c r="G384" s="7" t="s">
        <v>834</v>
      </c>
      <c r="H384" s="6">
        <v>1</v>
      </c>
      <c r="I384" s="8">
        <f>VLOOKUP(E384,diagnosis!$A$1:$B$11,2,FALSE)</f>
      </c>
      <c r="J384" s="8">
        <f>VLOOKUP(H384,outcomes!$A$1:$B$4,2,FALSE)</f>
      </c>
      <c r="K384" s="6">
        <f>G384-F384</f>
      </c>
      <c r="L384" s="7" t="s">
        <v>33</v>
      </c>
      <c r="M384" s="6">
        <v>48178</v>
      </c>
      <c r="N384" s="7" t="s">
        <v>50</v>
      </c>
    </row>
    <row x14ac:dyDescent="0.25" r="385" customHeight="1" ht="18.75">
      <c r="A385" s="6">
        <v>384</v>
      </c>
      <c r="B385" s="7" t="s">
        <v>173</v>
      </c>
      <c r="C385" s="6">
        <v>67</v>
      </c>
      <c r="D385" s="7" t="s">
        <v>47</v>
      </c>
      <c r="E385" s="6">
        <v>6</v>
      </c>
      <c r="F385" s="7" t="s">
        <v>835</v>
      </c>
      <c r="G385" s="7" t="s">
        <v>836</v>
      </c>
      <c r="H385" s="6">
        <v>2</v>
      </c>
      <c r="I385" s="8">
        <f>VLOOKUP(E385,diagnosis!$A$1:$B$11,2,FALSE)</f>
      </c>
      <c r="J385" s="8">
        <f>VLOOKUP(H385,outcomes!$A$1:$B$4,2,FALSE)</f>
      </c>
      <c r="K385" s="6">
        <f>G385-F385</f>
      </c>
      <c r="L385" s="7" t="s">
        <v>33</v>
      </c>
      <c r="M385" s="6">
        <v>38112</v>
      </c>
      <c r="N385" s="7" t="s">
        <v>34</v>
      </c>
    </row>
    <row x14ac:dyDescent="0.25" r="386" customHeight="1" ht="18.75">
      <c r="A386" s="6">
        <v>385</v>
      </c>
      <c r="B386" s="7" t="s">
        <v>837</v>
      </c>
      <c r="C386" s="6">
        <v>18</v>
      </c>
      <c r="D386" s="7" t="s">
        <v>47</v>
      </c>
      <c r="E386" s="6">
        <v>2</v>
      </c>
      <c r="F386" s="7" t="s">
        <v>838</v>
      </c>
      <c r="G386" s="7" t="s">
        <v>108</v>
      </c>
      <c r="H386" s="6">
        <v>3</v>
      </c>
      <c r="I386" s="8">
        <f>VLOOKUP(E386,diagnosis!$A$1:$B$11,2,FALSE)</f>
      </c>
      <c r="J386" s="8">
        <f>VLOOKUP(H386,outcomes!$A$1:$B$4,2,FALSE)</f>
      </c>
      <c r="K386" s="6">
        <f>G386-F386</f>
      </c>
      <c r="L386" s="7" t="s">
        <v>33</v>
      </c>
      <c r="M386" s="6">
        <v>82263</v>
      </c>
      <c r="N386" s="7" t="s">
        <v>39</v>
      </c>
    </row>
    <row x14ac:dyDescent="0.25" r="387" customHeight="1" ht="18.75">
      <c r="A387" s="6">
        <v>386</v>
      </c>
      <c r="B387" s="7" t="s">
        <v>839</v>
      </c>
      <c r="C387" s="6">
        <v>38</v>
      </c>
      <c r="D387" s="7" t="s">
        <v>47</v>
      </c>
      <c r="E387" s="6">
        <v>6</v>
      </c>
      <c r="F387" s="7" t="s">
        <v>153</v>
      </c>
      <c r="G387" s="7" t="s">
        <v>840</v>
      </c>
      <c r="H387" s="6">
        <v>2</v>
      </c>
      <c r="I387" s="8">
        <f>VLOOKUP(E387,diagnosis!$A$1:$B$11,2,FALSE)</f>
      </c>
      <c r="J387" s="8">
        <f>VLOOKUP(H387,outcomes!$A$1:$B$4,2,FALSE)</f>
      </c>
      <c r="K387" s="6">
        <f>G387-F387</f>
      </c>
      <c r="L387" s="7" t="s">
        <v>33</v>
      </c>
      <c r="M387" s="6">
        <v>18472</v>
      </c>
      <c r="N387" s="7" t="s">
        <v>39</v>
      </c>
    </row>
    <row x14ac:dyDescent="0.25" r="388" customHeight="1" ht="18.75">
      <c r="A388" s="6">
        <v>387</v>
      </c>
      <c r="B388" s="7" t="s">
        <v>841</v>
      </c>
      <c r="C388" s="6">
        <v>30</v>
      </c>
      <c r="D388" s="7" t="s">
        <v>30</v>
      </c>
      <c r="E388" s="6">
        <v>4</v>
      </c>
      <c r="F388" s="7" t="s">
        <v>842</v>
      </c>
      <c r="G388" s="7" t="s">
        <v>843</v>
      </c>
      <c r="H388" s="6">
        <v>1</v>
      </c>
      <c r="I388" s="8">
        <f>VLOOKUP(E388,diagnosis!$A$1:$B$11,2,FALSE)</f>
      </c>
      <c r="J388" s="8">
        <f>VLOOKUP(H388,outcomes!$A$1:$B$4,2,FALSE)</f>
      </c>
      <c r="K388" s="6">
        <f>G388-F388</f>
      </c>
      <c r="L388" s="7" t="s">
        <v>33</v>
      </c>
      <c r="M388" s="6">
        <v>42552</v>
      </c>
      <c r="N388" s="7" t="s">
        <v>39</v>
      </c>
    </row>
    <row x14ac:dyDescent="0.25" r="389" customHeight="1" ht="18.75">
      <c r="A389" s="6">
        <v>388</v>
      </c>
      <c r="B389" s="7" t="s">
        <v>627</v>
      </c>
      <c r="C389" s="6">
        <v>58</v>
      </c>
      <c r="D389" s="7" t="s">
        <v>47</v>
      </c>
      <c r="E389" s="6">
        <v>6</v>
      </c>
      <c r="F389" s="7" t="s">
        <v>844</v>
      </c>
      <c r="G389" s="7" t="s">
        <v>845</v>
      </c>
      <c r="H389" s="6">
        <v>2</v>
      </c>
      <c r="I389" s="8">
        <f>VLOOKUP(E389,diagnosis!$A$1:$B$11,2,FALSE)</f>
      </c>
      <c r="J389" s="8">
        <f>VLOOKUP(H389,outcomes!$A$1:$B$4,2,FALSE)</f>
      </c>
      <c r="K389" s="6">
        <f>G389-F389</f>
      </c>
      <c r="L389" s="7" t="s">
        <v>60</v>
      </c>
      <c r="M389" s="6">
        <v>15660</v>
      </c>
      <c r="N389" s="7" t="s">
        <v>34</v>
      </c>
    </row>
    <row x14ac:dyDescent="0.25" r="390" customHeight="1" ht="18.75">
      <c r="A390" s="6">
        <v>389</v>
      </c>
      <c r="B390" s="7" t="s">
        <v>399</v>
      </c>
      <c r="C390" s="6">
        <v>40</v>
      </c>
      <c r="D390" s="7" t="s">
        <v>47</v>
      </c>
      <c r="E390" s="6">
        <v>5</v>
      </c>
      <c r="F390" s="7" t="s">
        <v>42</v>
      </c>
      <c r="G390" s="7" t="s">
        <v>846</v>
      </c>
      <c r="H390" s="6">
        <v>1</v>
      </c>
      <c r="I390" s="8">
        <f>VLOOKUP(E390,diagnosis!$A$1:$B$11,2,FALSE)</f>
      </c>
      <c r="J390" s="8">
        <f>VLOOKUP(H390,outcomes!$A$1:$B$4,2,FALSE)</f>
      </c>
      <c r="K390" s="6">
        <f>G390-F390</f>
      </c>
      <c r="L390" s="7" t="s">
        <v>33</v>
      </c>
      <c r="M390" s="6">
        <v>43665</v>
      </c>
      <c r="N390" s="7" t="s">
        <v>50</v>
      </c>
    </row>
    <row x14ac:dyDescent="0.25" r="391" customHeight="1" ht="18.75">
      <c r="A391" s="6">
        <v>390</v>
      </c>
      <c r="B391" s="7" t="s">
        <v>631</v>
      </c>
      <c r="C391" s="6">
        <v>42</v>
      </c>
      <c r="D391" s="7" t="s">
        <v>30</v>
      </c>
      <c r="E391" s="6">
        <v>2</v>
      </c>
      <c r="F391" s="7" t="s">
        <v>235</v>
      </c>
      <c r="G391" s="7" t="s">
        <v>835</v>
      </c>
      <c r="H391" s="6">
        <v>3</v>
      </c>
      <c r="I391" s="8">
        <f>VLOOKUP(E391,diagnosis!$A$1:$B$11,2,FALSE)</f>
      </c>
      <c r="J391" s="8">
        <f>VLOOKUP(H391,outcomes!$A$1:$B$4,2,FALSE)</f>
      </c>
      <c r="K391" s="6">
        <f>G391-F391</f>
      </c>
      <c r="L391" s="7" t="s">
        <v>60</v>
      </c>
      <c r="M391" s="6">
        <v>30177</v>
      </c>
      <c r="N391" s="7" t="s">
        <v>34</v>
      </c>
    </row>
    <row x14ac:dyDescent="0.25" r="392" customHeight="1" ht="18.75">
      <c r="A392" s="6">
        <v>391</v>
      </c>
      <c r="B392" s="7" t="s">
        <v>847</v>
      </c>
      <c r="C392" s="6">
        <v>87</v>
      </c>
      <c r="D392" s="7" t="s">
        <v>47</v>
      </c>
      <c r="E392" s="6">
        <v>5</v>
      </c>
      <c r="F392" s="7" t="s">
        <v>330</v>
      </c>
      <c r="G392" s="7" t="s">
        <v>848</v>
      </c>
      <c r="H392" s="6">
        <v>1</v>
      </c>
      <c r="I392" s="8">
        <f>VLOOKUP(E392,diagnosis!$A$1:$B$11,2,FALSE)</f>
      </c>
      <c r="J392" s="8">
        <f>VLOOKUP(H392,outcomes!$A$1:$B$4,2,FALSE)</f>
      </c>
      <c r="K392" s="6">
        <f>G392-F392</f>
      </c>
      <c r="L392" s="7" t="s">
        <v>33</v>
      </c>
      <c r="M392" s="6">
        <v>5658</v>
      </c>
      <c r="N392" s="7" t="s">
        <v>39</v>
      </c>
    </row>
    <row x14ac:dyDescent="0.25" r="393" customHeight="1" ht="18.75">
      <c r="A393" s="6">
        <v>392</v>
      </c>
      <c r="B393" s="7" t="s">
        <v>339</v>
      </c>
      <c r="C393" s="6">
        <v>60</v>
      </c>
      <c r="D393" s="7" t="s">
        <v>30</v>
      </c>
      <c r="E393" s="6">
        <v>3</v>
      </c>
      <c r="F393" s="7" t="s">
        <v>162</v>
      </c>
      <c r="G393" s="7" t="s">
        <v>163</v>
      </c>
      <c r="H393" s="6">
        <v>1</v>
      </c>
      <c r="I393" s="8">
        <f>VLOOKUP(E393,diagnosis!$A$1:$B$11,2,FALSE)</f>
      </c>
      <c r="J393" s="8">
        <f>VLOOKUP(H393,outcomes!$A$1:$B$4,2,FALSE)</f>
      </c>
      <c r="K393" s="6">
        <f>G393-F393</f>
      </c>
      <c r="L393" s="7" t="s">
        <v>60</v>
      </c>
      <c r="M393" s="6">
        <v>19644</v>
      </c>
      <c r="N393" s="7" t="s">
        <v>50</v>
      </c>
    </row>
    <row x14ac:dyDescent="0.25" r="394" customHeight="1" ht="18.75">
      <c r="A394" s="6">
        <v>393</v>
      </c>
      <c r="B394" s="7" t="s">
        <v>518</v>
      </c>
      <c r="C394" s="6">
        <v>52</v>
      </c>
      <c r="D394" s="7" t="s">
        <v>47</v>
      </c>
      <c r="E394" s="6">
        <v>2</v>
      </c>
      <c r="F394" s="7" t="s">
        <v>153</v>
      </c>
      <c r="G394" s="7" t="s">
        <v>281</v>
      </c>
      <c r="H394" s="6">
        <v>3</v>
      </c>
      <c r="I394" s="8">
        <f>VLOOKUP(E394,diagnosis!$A$1:$B$11,2,FALSE)</f>
      </c>
      <c r="J394" s="8">
        <f>VLOOKUP(H394,outcomes!$A$1:$B$4,2,FALSE)</f>
      </c>
      <c r="K394" s="6">
        <f>G394-F394</f>
      </c>
      <c r="L394" s="7" t="s">
        <v>33</v>
      </c>
      <c r="M394" s="6">
        <v>23282</v>
      </c>
      <c r="N394" s="7" t="s">
        <v>39</v>
      </c>
    </row>
    <row x14ac:dyDescent="0.25" r="395" customHeight="1" ht="18.75">
      <c r="A395" s="6">
        <v>394</v>
      </c>
      <c r="B395" s="7" t="s">
        <v>173</v>
      </c>
      <c r="C395" s="6">
        <v>26</v>
      </c>
      <c r="D395" s="7" t="s">
        <v>47</v>
      </c>
      <c r="E395" s="6">
        <v>3</v>
      </c>
      <c r="F395" s="7" t="s">
        <v>849</v>
      </c>
      <c r="G395" s="7" t="s">
        <v>850</v>
      </c>
      <c r="H395" s="6">
        <v>1</v>
      </c>
      <c r="I395" s="8">
        <f>VLOOKUP(E395,diagnosis!$A$1:$B$11,2,FALSE)</f>
      </c>
      <c r="J395" s="8">
        <f>VLOOKUP(H395,outcomes!$A$1:$B$4,2,FALSE)</f>
      </c>
      <c r="K395" s="6">
        <f>G395-F395</f>
      </c>
      <c r="L395" s="7" t="s">
        <v>38</v>
      </c>
      <c r="M395" s="6">
        <v>9987</v>
      </c>
      <c r="N395" s="7" t="s">
        <v>34</v>
      </c>
    </row>
    <row x14ac:dyDescent="0.25" r="396" customHeight="1" ht="18.75">
      <c r="A396" s="6">
        <v>395</v>
      </c>
      <c r="B396" s="7" t="s">
        <v>666</v>
      </c>
      <c r="C396" s="6">
        <v>22</v>
      </c>
      <c r="D396" s="7" t="s">
        <v>47</v>
      </c>
      <c r="E396" s="6">
        <v>7</v>
      </c>
      <c r="F396" s="7" t="s">
        <v>851</v>
      </c>
      <c r="G396" s="7" t="s">
        <v>852</v>
      </c>
      <c r="H396" s="6">
        <v>2</v>
      </c>
      <c r="I396" s="8">
        <f>VLOOKUP(E396,diagnosis!$A$1:$B$11,2,FALSE)</f>
      </c>
      <c r="J396" s="8">
        <f>VLOOKUP(H396,outcomes!$A$1:$B$4,2,FALSE)</f>
      </c>
      <c r="K396" s="6">
        <f>G396-F396</f>
      </c>
      <c r="L396" s="7" t="s">
        <v>38</v>
      </c>
      <c r="M396" s="6">
        <v>8814</v>
      </c>
      <c r="N396" s="7" t="s">
        <v>50</v>
      </c>
    </row>
    <row x14ac:dyDescent="0.25" r="397" customHeight="1" ht="18.75">
      <c r="A397" s="6">
        <v>396</v>
      </c>
      <c r="B397" s="7" t="s">
        <v>487</v>
      </c>
      <c r="C397" s="6">
        <v>28</v>
      </c>
      <c r="D397" s="7" t="s">
        <v>30</v>
      </c>
      <c r="E397" s="6">
        <v>5</v>
      </c>
      <c r="F397" s="7" t="s">
        <v>853</v>
      </c>
      <c r="G397" s="7" t="s">
        <v>175</v>
      </c>
      <c r="H397" s="6">
        <v>2</v>
      </c>
      <c r="I397" s="8">
        <f>VLOOKUP(E397,diagnosis!$A$1:$B$11,2,FALSE)</f>
      </c>
      <c r="J397" s="8">
        <f>VLOOKUP(H397,outcomes!$A$1:$B$4,2,FALSE)</f>
      </c>
      <c r="K397" s="6">
        <f>G397-F397</f>
      </c>
      <c r="L397" s="7" t="s">
        <v>33</v>
      </c>
      <c r="M397" s="6">
        <v>32424</v>
      </c>
      <c r="N397" s="7" t="s">
        <v>39</v>
      </c>
    </row>
    <row x14ac:dyDescent="0.25" r="398" customHeight="1" ht="18.75">
      <c r="A398" s="6">
        <v>397</v>
      </c>
      <c r="B398" s="7" t="s">
        <v>854</v>
      </c>
      <c r="C398" s="6">
        <v>64</v>
      </c>
      <c r="D398" s="7" t="s">
        <v>47</v>
      </c>
      <c r="E398" s="6">
        <v>9</v>
      </c>
      <c r="F398" s="7" t="s">
        <v>812</v>
      </c>
      <c r="G398" s="7" t="s">
        <v>855</v>
      </c>
      <c r="H398" s="6">
        <v>2</v>
      </c>
      <c r="I398" s="8">
        <f>VLOOKUP(E398,diagnosis!$A$1:$B$11,2,FALSE)</f>
      </c>
      <c r="J398" s="8">
        <f>VLOOKUP(H398,outcomes!$A$1:$B$4,2,FALSE)</f>
      </c>
      <c r="K398" s="6">
        <f>G398-F398</f>
      </c>
      <c r="L398" s="7" t="s">
        <v>33</v>
      </c>
      <c r="M398" s="6">
        <v>39470</v>
      </c>
      <c r="N398" s="7" t="s">
        <v>50</v>
      </c>
    </row>
    <row x14ac:dyDescent="0.25" r="399" customHeight="1" ht="18.75">
      <c r="A399" s="6">
        <v>398</v>
      </c>
      <c r="B399" s="7" t="s">
        <v>448</v>
      </c>
      <c r="C399" s="6">
        <v>54</v>
      </c>
      <c r="D399" s="7" t="s">
        <v>30</v>
      </c>
      <c r="E399" s="6">
        <v>9</v>
      </c>
      <c r="F399" s="7" t="s">
        <v>212</v>
      </c>
      <c r="G399" s="7" t="s">
        <v>213</v>
      </c>
      <c r="H399" s="6">
        <v>1</v>
      </c>
      <c r="I399" s="8">
        <f>VLOOKUP(E399,diagnosis!$A$1:$B$11,2,FALSE)</f>
      </c>
      <c r="J399" s="8">
        <f>VLOOKUP(H399,outcomes!$A$1:$B$4,2,FALSE)</f>
      </c>
      <c r="K399" s="6">
        <f>G399-F399</f>
      </c>
      <c r="L399" s="7" t="s">
        <v>60</v>
      </c>
      <c r="M399" s="6">
        <v>20315</v>
      </c>
      <c r="N399" s="7" t="s">
        <v>39</v>
      </c>
    </row>
    <row x14ac:dyDescent="0.25" r="400" customHeight="1" ht="18.75">
      <c r="A400" s="6">
        <v>399</v>
      </c>
      <c r="B400" s="7" t="s">
        <v>155</v>
      </c>
      <c r="C400" s="6">
        <v>62</v>
      </c>
      <c r="D400" s="7" t="s">
        <v>47</v>
      </c>
      <c r="E400" s="6">
        <v>6</v>
      </c>
      <c r="F400" s="7" t="s">
        <v>856</v>
      </c>
      <c r="G400" s="7" t="s">
        <v>218</v>
      </c>
      <c r="H400" s="6">
        <v>3</v>
      </c>
      <c r="I400" s="8">
        <f>VLOOKUP(E400,diagnosis!$A$1:$B$11,2,FALSE)</f>
      </c>
      <c r="J400" s="8">
        <f>VLOOKUP(H400,outcomes!$A$1:$B$4,2,FALSE)</f>
      </c>
      <c r="K400" s="6">
        <f>G400-F400</f>
      </c>
      <c r="L400" s="7" t="s">
        <v>33</v>
      </c>
      <c r="M400" s="6">
        <v>52956</v>
      </c>
      <c r="N400" s="7" t="s">
        <v>39</v>
      </c>
    </row>
    <row x14ac:dyDescent="0.25" r="401" customHeight="1" ht="18.75">
      <c r="A401" s="6">
        <v>400</v>
      </c>
      <c r="B401" s="7" t="s">
        <v>857</v>
      </c>
      <c r="C401" s="6">
        <v>4</v>
      </c>
      <c r="D401" s="7" t="s">
        <v>47</v>
      </c>
      <c r="E401" s="6">
        <v>10</v>
      </c>
      <c r="F401" s="7" t="s">
        <v>858</v>
      </c>
      <c r="G401" s="7" t="s">
        <v>859</v>
      </c>
      <c r="H401" s="6">
        <v>1</v>
      </c>
      <c r="I401" s="8">
        <f>VLOOKUP(E401,diagnosis!$A$1:$B$11,2,FALSE)</f>
      </c>
      <c r="J401" s="8">
        <f>VLOOKUP(H401,outcomes!$A$1:$B$4,2,FALSE)</f>
      </c>
      <c r="K401" s="6">
        <f>G401-F401</f>
      </c>
      <c r="L401" s="7" t="s">
        <v>60</v>
      </c>
      <c r="M401" s="6">
        <v>28338</v>
      </c>
      <c r="N401" s="7" t="s">
        <v>50</v>
      </c>
    </row>
    <row x14ac:dyDescent="0.25" r="402" customHeight="1" ht="18.75">
      <c r="A402" s="6">
        <v>401</v>
      </c>
      <c r="B402" s="7" t="s">
        <v>180</v>
      </c>
      <c r="C402" s="6">
        <v>46</v>
      </c>
      <c r="D402" s="7" t="s">
        <v>30</v>
      </c>
      <c r="E402" s="6">
        <v>3</v>
      </c>
      <c r="F402" s="7" t="s">
        <v>860</v>
      </c>
      <c r="G402" s="7" t="s">
        <v>861</v>
      </c>
      <c r="H402" s="6">
        <v>1</v>
      </c>
      <c r="I402" s="8">
        <f>VLOOKUP(E402,diagnosis!$A$1:$B$11,2,FALSE)</f>
      </c>
      <c r="J402" s="8">
        <f>VLOOKUP(H402,outcomes!$A$1:$B$4,2,FALSE)</f>
      </c>
      <c r="K402" s="6">
        <f>G402-F402</f>
      </c>
      <c r="L402" s="7" t="s">
        <v>33</v>
      </c>
      <c r="M402" s="6">
        <v>34663</v>
      </c>
      <c r="N402" s="7" t="s">
        <v>39</v>
      </c>
    </row>
    <row x14ac:dyDescent="0.25" r="403" customHeight="1" ht="18.75">
      <c r="A403" s="6">
        <v>402</v>
      </c>
      <c r="B403" s="7" t="s">
        <v>167</v>
      </c>
      <c r="C403" s="6">
        <v>29</v>
      </c>
      <c r="D403" s="7" t="s">
        <v>47</v>
      </c>
      <c r="E403" s="6">
        <v>6</v>
      </c>
      <c r="F403" s="7" t="s">
        <v>862</v>
      </c>
      <c r="G403" s="7" t="s">
        <v>276</v>
      </c>
      <c r="H403" s="6">
        <v>1</v>
      </c>
      <c r="I403" s="8">
        <f>VLOOKUP(E403,diagnosis!$A$1:$B$11,2,FALSE)</f>
      </c>
      <c r="J403" s="8">
        <f>VLOOKUP(H403,outcomes!$A$1:$B$4,2,FALSE)</f>
      </c>
      <c r="K403" s="6">
        <f>G403-F403</f>
      </c>
      <c r="L403" s="7" t="s">
        <v>38</v>
      </c>
      <c r="M403" s="6">
        <v>9556</v>
      </c>
      <c r="N403" s="7" t="s">
        <v>50</v>
      </c>
    </row>
    <row x14ac:dyDescent="0.25" r="404" customHeight="1" ht="18.75">
      <c r="A404" s="6">
        <v>403</v>
      </c>
      <c r="B404" s="7" t="s">
        <v>89</v>
      </c>
      <c r="C404" s="6">
        <v>76</v>
      </c>
      <c r="D404" s="7" t="s">
        <v>30</v>
      </c>
      <c r="E404" s="6">
        <v>6</v>
      </c>
      <c r="F404" s="7" t="s">
        <v>69</v>
      </c>
      <c r="G404" s="7" t="s">
        <v>863</v>
      </c>
      <c r="H404" s="6">
        <v>3</v>
      </c>
      <c r="I404" s="8">
        <f>VLOOKUP(E404,diagnosis!$A$1:$B$11,2,FALSE)</f>
      </c>
      <c r="J404" s="8">
        <f>VLOOKUP(H404,outcomes!$A$1:$B$4,2,FALSE)</f>
      </c>
      <c r="K404" s="6">
        <f>G404-F404</f>
      </c>
      <c r="L404" s="7" t="s">
        <v>33</v>
      </c>
      <c r="M404" s="6">
        <v>40164</v>
      </c>
      <c r="N404" s="7" t="s">
        <v>50</v>
      </c>
    </row>
    <row x14ac:dyDescent="0.25" r="405" customHeight="1" ht="18.75">
      <c r="A405" s="6">
        <v>404</v>
      </c>
      <c r="B405" s="7" t="s">
        <v>793</v>
      </c>
      <c r="C405" s="6">
        <v>70</v>
      </c>
      <c r="D405" s="7" t="s">
        <v>47</v>
      </c>
      <c r="E405" s="6">
        <v>3</v>
      </c>
      <c r="F405" s="7" t="s">
        <v>864</v>
      </c>
      <c r="G405" s="7" t="s">
        <v>865</v>
      </c>
      <c r="H405" s="6">
        <v>2</v>
      </c>
      <c r="I405" s="8">
        <f>VLOOKUP(E405,diagnosis!$A$1:$B$11,2,FALSE)</f>
      </c>
      <c r="J405" s="8">
        <f>VLOOKUP(H405,outcomes!$A$1:$B$4,2,FALSE)</f>
      </c>
      <c r="K405" s="6">
        <f>G405-F405</f>
      </c>
      <c r="L405" s="7" t="s">
        <v>33</v>
      </c>
      <c r="M405" s="6">
        <v>59024</v>
      </c>
      <c r="N405" s="7" t="s">
        <v>34</v>
      </c>
    </row>
    <row x14ac:dyDescent="0.25" r="406" customHeight="1" ht="18.75">
      <c r="A406" s="6">
        <v>405</v>
      </c>
      <c r="B406" s="7" t="s">
        <v>101</v>
      </c>
      <c r="C406" s="6">
        <v>29</v>
      </c>
      <c r="D406" s="7" t="s">
        <v>30</v>
      </c>
      <c r="E406" s="6">
        <v>9</v>
      </c>
      <c r="F406" s="7" t="s">
        <v>626</v>
      </c>
      <c r="G406" s="7" t="s">
        <v>866</v>
      </c>
      <c r="H406" s="6">
        <v>2</v>
      </c>
      <c r="I406" s="8">
        <f>VLOOKUP(E406,diagnosis!$A$1:$B$11,2,FALSE)</f>
      </c>
      <c r="J406" s="8">
        <f>VLOOKUP(H406,outcomes!$A$1:$B$4,2,FALSE)</f>
      </c>
      <c r="K406" s="6">
        <f>G406-F406</f>
      </c>
      <c r="L406" s="7" t="s">
        <v>33</v>
      </c>
      <c r="M406" s="6">
        <v>40600</v>
      </c>
      <c r="N406" s="7" t="s">
        <v>39</v>
      </c>
    </row>
    <row x14ac:dyDescent="0.25" r="407" customHeight="1" ht="18.75">
      <c r="A407" s="6">
        <v>406</v>
      </c>
      <c r="B407" s="7" t="s">
        <v>182</v>
      </c>
      <c r="C407" s="6">
        <v>44</v>
      </c>
      <c r="D407" s="7" t="s">
        <v>30</v>
      </c>
      <c r="E407" s="6">
        <v>6</v>
      </c>
      <c r="F407" s="7" t="s">
        <v>85</v>
      </c>
      <c r="G407" s="7" t="s">
        <v>867</v>
      </c>
      <c r="H407" s="6">
        <v>1</v>
      </c>
      <c r="I407" s="8">
        <f>VLOOKUP(E407,diagnosis!$A$1:$B$11,2,FALSE)</f>
      </c>
      <c r="J407" s="8">
        <f>VLOOKUP(H407,outcomes!$A$1:$B$4,2,FALSE)</f>
      </c>
      <c r="K407" s="6">
        <f>G407-F407</f>
      </c>
      <c r="L407" s="7" t="s">
        <v>60</v>
      </c>
      <c r="M407" s="6">
        <v>11265</v>
      </c>
      <c r="N407" s="7" t="s">
        <v>50</v>
      </c>
    </row>
    <row x14ac:dyDescent="0.25" r="408" customHeight="1" ht="18.75">
      <c r="A408" s="6">
        <v>407</v>
      </c>
      <c r="B408" s="7" t="s">
        <v>793</v>
      </c>
      <c r="C408" s="6">
        <v>68</v>
      </c>
      <c r="D408" s="7" t="s">
        <v>47</v>
      </c>
      <c r="E408" s="6">
        <v>2</v>
      </c>
      <c r="F408" s="7" t="s">
        <v>396</v>
      </c>
      <c r="G408" s="7" t="s">
        <v>868</v>
      </c>
      <c r="H408" s="6">
        <v>2</v>
      </c>
      <c r="I408" s="8">
        <f>VLOOKUP(E408,diagnosis!$A$1:$B$11,2,FALSE)</f>
      </c>
      <c r="J408" s="8">
        <f>VLOOKUP(H408,outcomes!$A$1:$B$4,2,FALSE)</f>
      </c>
      <c r="K408" s="6">
        <f>G408-F408</f>
      </c>
      <c r="L408" s="7" t="s">
        <v>33</v>
      </c>
      <c r="M408" s="6">
        <v>11472</v>
      </c>
      <c r="N408" s="7" t="s">
        <v>50</v>
      </c>
    </row>
    <row x14ac:dyDescent="0.25" r="409" customHeight="1" ht="18.75">
      <c r="A409" s="6">
        <v>408</v>
      </c>
      <c r="B409" s="7" t="s">
        <v>225</v>
      </c>
      <c r="C409" s="6">
        <v>39</v>
      </c>
      <c r="D409" s="7" t="s">
        <v>47</v>
      </c>
      <c r="E409" s="6">
        <v>3</v>
      </c>
      <c r="F409" s="7" t="s">
        <v>869</v>
      </c>
      <c r="G409" s="7" t="s">
        <v>870</v>
      </c>
      <c r="H409" s="6">
        <v>1</v>
      </c>
      <c r="I409" s="8">
        <f>VLOOKUP(E409,diagnosis!$A$1:$B$11,2,FALSE)</f>
      </c>
      <c r="J409" s="8">
        <f>VLOOKUP(H409,outcomes!$A$1:$B$4,2,FALSE)</f>
      </c>
      <c r="K409" s="6">
        <f>G409-F409</f>
      </c>
      <c r="L409" s="7" t="s">
        <v>33</v>
      </c>
      <c r="M409" s="6">
        <v>37191</v>
      </c>
      <c r="N409" s="7" t="s">
        <v>34</v>
      </c>
    </row>
    <row x14ac:dyDescent="0.25" r="410" customHeight="1" ht="18.75">
      <c r="A410" s="6">
        <v>409</v>
      </c>
      <c r="B410" s="7" t="s">
        <v>118</v>
      </c>
      <c r="C410" s="6">
        <v>72</v>
      </c>
      <c r="D410" s="7" t="s">
        <v>47</v>
      </c>
      <c r="E410" s="6">
        <v>4</v>
      </c>
      <c r="F410" s="7" t="s">
        <v>619</v>
      </c>
      <c r="G410" s="7" t="s">
        <v>871</v>
      </c>
      <c r="H410" s="6">
        <v>3</v>
      </c>
      <c r="I410" s="8">
        <f>VLOOKUP(E410,diagnosis!$A$1:$B$11,2,FALSE)</f>
      </c>
      <c r="J410" s="8">
        <f>VLOOKUP(H410,outcomes!$A$1:$B$4,2,FALSE)</f>
      </c>
      <c r="K410" s="6">
        <f>G410-F410</f>
      </c>
      <c r="L410" s="7" t="s">
        <v>33</v>
      </c>
      <c r="M410" s="6">
        <v>28122</v>
      </c>
      <c r="N410" s="7" t="s">
        <v>34</v>
      </c>
    </row>
    <row x14ac:dyDescent="0.25" r="411" customHeight="1" ht="18.75">
      <c r="A411" s="6">
        <v>410</v>
      </c>
      <c r="B411" s="7" t="s">
        <v>872</v>
      </c>
      <c r="C411" s="6">
        <v>17</v>
      </c>
      <c r="D411" s="7" t="s">
        <v>30</v>
      </c>
      <c r="E411" s="6">
        <v>1</v>
      </c>
      <c r="F411" s="7" t="s">
        <v>873</v>
      </c>
      <c r="G411" s="7" t="s">
        <v>874</v>
      </c>
      <c r="H411" s="6">
        <v>3</v>
      </c>
      <c r="I411" s="8">
        <f>VLOOKUP(E411,diagnosis!$A$1:$B$11,2,FALSE)</f>
      </c>
      <c r="J411" s="8">
        <f>VLOOKUP(H411,outcomes!$A$1:$B$4,2,FALSE)</f>
      </c>
      <c r="K411" s="6">
        <f>G411-F411</f>
      </c>
      <c r="L411" s="7" t="s">
        <v>33</v>
      </c>
      <c r="M411" s="6">
        <v>41210</v>
      </c>
      <c r="N411" s="7" t="s">
        <v>39</v>
      </c>
    </row>
    <row x14ac:dyDescent="0.25" r="412" customHeight="1" ht="18.75">
      <c r="A412" s="6">
        <v>411</v>
      </c>
      <c r="B412" s="7" t="s">
        <v>225</v>
      </c>
      <c r="C412" s="6">
        <v>78</v>
      </c>
      <c r="D412" s="7" t="s">
        <v>47</v>
      </c>
      <c r="E412" s="6">
        <v>10</v>
      </c>
      <c r="F412" s="7" t="s">
        <v>774</v>
      </c>
      <c r="G412" s="7" t="s">
        <v>875</v>
      </c>
      <c r="H412" s="6">
        <v>1</v>
      </c>
      <c r="I412" s="8">
        <f>VLOOKUP(E412,diagnosis!$A$1:$B$11,2,FALSE)</f>
      </c>
      <c r="J412" s="8">
        <f>VLOOKUP(H412,outcomes!$A$1:$B$4,2,FALSE)</f>
      </c>
      <c r="K412" s="6">
        <f>G412-F412</f>
      </c>
      <c r="L412" s="7" t="s">
        <v>33</v>
      </c>
      <c r="M412" s="6">
        <v>12534</v>
      </c>
      <c r="N412" s="7" t="s">
        <v>39</v>
      </c>
    </row>
    <row x14ac:dyDescent="0.25" r="413" customHeight="1" ht="18.75">
      <c r="A413" s="6">
        <v>412</v>
      </c>
      <c r="B413" s="7" t="s">
        <v>138</v>
      </c>
      <c r="C413" s="6">
        <v>43</v>
      </c>
      <c r="D413" s="7" t="s">
        <v>30</v>
      </c>
      <c r="E413" s="6">
        <v>4</v>
      </c>
      <c r="F413" s="7" t="s">
        <v>634</v>
      </c>
      <c r="G413" s="7" t="s">
        <v>876</v>
      </c>
      <c r="H413" s="6">
        <v>2</v>
      </c>
      <c r="I413" s="8">
        <f>VLOOKUP(E413,diagnosis!$A$1:$B$11,2,FALSE)</f>
      </c>
      <c r="J413" s="8">
        <f>VLOOKUP(H413,outcomes!$A$1:$B$4,2,FALSE)</f>
      </c>
      <c r="K413" s="6">
        <f>G413-F413</f>
      </c>
      <c r="L413" s="7" t="s">
        <v>60</v>
      </c>
      <c r="M413" s="6">
        <v>17470</v>
      </c>
      <c r="N413" s="7" t="s">
        <v>39</v>
      </c>
    </row>
    <row x14ac:dyDescent="0.25" r="414" customHeight="1" ht="18.75">
      <c r="A414" s="6">
        <v>413</v>
      </c>
      <c r="B414" s="7" t="s">
        <v>193</v>
      </c>
      <c r="C414" s="6">
        <v>2</v>
      </c>
      <c r="D414" s="7" t="s">
        <v>47</v>
      </c>
      <c r="E414" s="6">
        <v>4</v>
      </c>
      <c r="F414" s="7" t="s">
        <v>877</v>
      </c>
      <c r="G414" s="7" t="s">
        <v>878</v>
      </c>
      <c r="H414" s="6">
        <v>1</v>
      </c>
      <c r="I414" s="8">
        <f>VLOOKUP(E414,diagnosis!$A$1:$B$11,2,FALSE)</f>
      </c>
      <c r="J414" s="8">
        <f>VLOOKUP(H414,outcomes!$A$1:$B$4,2,FALSE)</f>
      </c>
      <c r="K414" s="6">
        <f>G414-F414</f>
      </c>
      <c r="L414" s="7" t="s">
        <v>33</v>
      </c>
      <c r="M414" s="6">
        <v>61530</v>
      </c>
      <c r="N414" s="7" t="s">
        <v>39</v>
      </c>
    </row>
    <row x14ac:dyDescent="0.25" r="415" customHeight="1" ht="18.75">
      <c r="A415" s="6">
        <v>414</v>
      </c>
      <c r="B415" s="7" t="s">
        <v>621</v>
      </c>
      <c r="C415" s="6">
        <v>1</v>
      </c>
      <c r="D415" s="7" t="s">
        <v>30</v>
      </c>
      <c r="E415" s="6">
        <v>7</v>
      </c>
      <c r="F415" s="7" t="s">
        <v>879</v>
      </c>
      <c r="G415" s="7" t="s">
        <v>259</v>
      </c>
      <c r="H415" s="6">
        <v>2</v>
      </c>
      <c r="I415" s="8">
        <f>VLOOKUP(E415,diagnosis!$A$1:$B$11,2,FALSE)</f>
      </c>
      <c r="J415" s="8">
        <f>VLOOKUP(H415,outcomes!$A$1:$B$4,2,FALSE)</f>
      </c>
      <c r="K415" s="6">
        <f>G415-F415</f>
      </c>
      <c r="L415" s="7" t="s">
        <v>60</v>
      </c>
      <c r="M415" s="6">
        <v>8456</v>
      </c>
      <c r="N415" s="7" t="s">
        <v>34</v>
      </c>
    </row>
    <row x14ac:dyDescent="0.25" r="416" customHeight="1" ht="18.75">
      <c r="A416" s="6">
        <v>415</v>
      </c>
      <c r="B416" s="7" t="s">
        <v>81</v>
      </c>
      <c r="C416" s="6">
        <v>49</v>
      </c>
      <c r="D416" s="7" t="s">
        <v>47</v>
      </c>
      <c r="E416" s="6">
        <v>9</v>
      </c>
      <c r="F416" s="7" t="s">
        <v>880</v>
      </c>
      <c r="G416" s="7" t="s">
        <v>509</v>
      </c>
      <c r="H416" s="6">
        <v>2</v>
      </c>
      <c r="I416" s="8">
        <f>VLOOKUP(E416,diagnosis!$A$1:$B$11,2,FALSE)</f>
      </c>
      <c r="J416" s="8">
        <f>VLOOKUP(H416,outcomes!$A$1:$B$4,2,FALSE)</f>
      </c>
      <c r="K416" s="6">
        <f>G416-F416</f>
      </c>
      <c r="L416" s="7" t="s">
        <v>33</v>
      </c>
      <c r="M416" s="6">
        <v>62336</v>
      </c>
      <c r="N416" s="7" t="s">
        <v>50</v>
      </c>
    </row>
    <row x14ac:dyDescent="0.25" r="417" customHeight="1" ht="18.75">
      <c r="A417" s="6">
        <v>416</v>
      </c>
      <c r="B417" s="7" t="s">
        <v>881</v>
      </c>
      <c r="C417" s="6">
        <v>58</v>
      </c>
      <c r="D417" s="7" t="s">
        <v>30</v>
      </c>
      <c r="E417" s="6">
        <v>1</v>
      </c>
      <c r="F417" s="7" t="s">
        <v>769</v>
      </c>
      <c r="G417" s="7" t="s">
        <v>221</v>
      </c>
      <c r="H417" s="6">
        <v>2</v>
      </c>
      <c r="I417" s="8">
        <f>VLOOKUP(E417,diagnosis!$A$1:$B$11,2,FALSE)</f>
      </c>
      <c r="J417" s="8">
        <f>VLOOKUP(H417,outcomes!$A$1:$B$4,2,FALSE)</f>
      </c>
      <c r="K417" s="6">
        <f>G417-F417</f>
      </c>
      <c r="L417" s="7" t="s">
        <v>60</v>
      </c>
      <c r="M417" s="6">
        <v>12018</v>
      </c>
      <c r="N417" s="7" t="s">
        <v>34</v>
      </c>
    </row>
    <row x14ac:dyDescent="0.25" r="418" customHeight="1" ht="18.75">
      <c r="A418" s="6">
        <v>417</v>
      </c>
      <c r="B418" s="7" t="s">
        <v>882</v>
      </c>
      <c r="C418" s="6">
        <v>44</v>
      </c>
      <c r="D418" s="7" t="s">
        <v>30</v>
      </c>
      <c r="E418" s="6">
        <v>7</v>
      </c>
      <c r="F418" s="7" t="s">
        <v>883</v>
      </c>
      <c r="G418" s="7" t="s">
        <v>870</v>
      </c>
      <c r="H418" s="6">
        <v>1</v>
      </c>
      <c r="I418" s="8">
        <f>VLOOKUP(E418,diagnosis!$A$1:$B$11,2,FALSE)</f>
      </c>
      <c r="J418" s="8">
        <f>VLOOKUP(H418,outcomes!$A$1:$B$4,2,FALSE)</f>
      </c>
      <c r="K418" s="6">
        <f>G418-F418</f>
      </c>
      <c r="L418" s="7" t="s">
        <v>60</v>
      </c>
      <c r="M418" s="6">
        <v>8022</v>
      </c>
      <c r="N418" s="7" t="s">
        <v>50</v>
      </c>
    </row>
    <row x14ac:dyDescent="0.25" r="419" customHeight="1" ht="18.75">
      <c r="A419" s="6">
        <v>418</v>
      </c>
      <c r="B419" s="7" t="s">
        <v>402</v>
      </c>
      <c r="C419" s="6">
        <v>77</v>
      </c>
      <c r="D419" s="7" t="s">
        <v>47</v>
      </c>
      <c r="E419" s="6">
        <v>1</v>
      </c>
      <c r="F419" s="7" t="s">
        <v>327</v>
      </c>
      <c r="G419" s="7" t="s">
        <v>884</v>
      </c>
      <c r="H419" s="6">
        <v>2</v>
      </c>
      <c r="I419" s="8">
        <f>VLOOKUP(E419,diagnosis!$A$1:$B$11,2,FALSE)</f>
      </c>
      <c r="J419" s="8">
        <f>VLOOKUP(H419,outcomes!$A$1:$B$4,2,FALSE)</f>
      </c>
      <c r="K419" s="6">
        <f>G419-F419</f>
      </c>
      <c r="L419" s="7" t="s">
        <v>33</v>
      </c>
      <c r="M419" s="6">
        <v>39127</v>
      </c>
      <c r="N419" s="7" t="s">
        <v>50</v>
      </c>
    </row>
    <row x14ac:dyDescent="0.25" r="420" customHeight="1" ht="18.75">
      <c r="A420" s="6">
        <v>419</v>
      </c>
      <c r="B420" s="7" t="s">
        <v>463</v>
      </c>
      <c r="C420" s="6">
        <v>7</v>
      </c>
      <c r="D420" s="7" t="s">
        <v>30</v>
      </c>
      <c r="E420" s="6">
        <v>6</v>
      </c>
      <c r="F420" s="7" t="s">
        <v>885</v>
      </c>
      <c r="G420" s="7" t="s">
        <v>717</v>
      </c>
      <c r="H420" s="6">
        <v>1</v>
      </c>
      <c r="I420" s="8">
        <f>VLOOKUP(E420,diagnosis!$A$1:$B$11,2,FALSE)</f>
      </c>
      <c r="J420" s="8">
        <f>VLOOKUP(H420,outcomes!$A$1:$B$4,2,FALSE)</f>
      </c>
      <c r="K420" s="6">
        <f>G420-F420</f>
      </c>
      <c r="L420" s="7" t="s">
        <v>60</v>
      </c>
      <c r="M420" s="6">
        <v>18276</v>
      </c>
      <c r="N420" s="7" t="s">
        <v>50</v>
      </c>
    </row>
    <row x14ac:dyDescent="0.25" r="421" customHeight="1" ht="18.75">
      <c r="A421" s="6">
        <v>420</v>
      </c>
      <c r="B421" s="7" t="s">
        <v>886</v>
      </c>
      <c r="C421" s="6">
        <v>39</v>
      </c>
      <c r="D421" s="7" t="s">
        <v>30</v>
      </c>
      <c r="E421" s="6">
        <v>2</v>
      </c>
      <c r="F421" s="7" t="s">
        <v>887</v>
      </c>
      <c r="G421" s="7" t="s">
        <v>858</v>
      </c>
      <c r="H421" s="6">
        <v>1</v>
      </c>
      <c r="I421" s="8">
        <f>VLOOKUP(E421,diagnosis!$A$1:$B$11,2,FALSE)</f>
      </c>
      <c r="J421" s="8">
        <f>VLOOKUP(H421,outcomes!$A$1:$B$4,2,FALSE)</f>
      </c>
      <c r="K421" s="6">
        <f>G421-F421</f>
      </c>
      <c r="L421" s="7" t="s">
        <v>33</v>
      </c>
      <c r="M421" s="6">
        <v>39380</v>
      </c>
      <c r="N421" s="7" t="s">
        <v>39</v>
      </c>
    </row>
    <row x14ac:dyDescent="0.25" r="422" customHeight="1" ht="18.75">
      <c r="A422" s="6">
        <v>421</v>
      </c>
      <c r="B422" s="7" t="s">
        <v>158</v>
      </c>
      <c r="C422" s="6">
        <v>7</v>
      </c>
      <c r="D422" s="7" t="s">
        <v>47</v>
      </c>
      <c r="E422" s="6">
        <v>1</v>
      </c>
      <c r="F422" s="7" t="s">
        <v>888</v>
      </c>
      <c r="G422" s="7" t="s">
        <v>830</v>
      </c>
      <c r="H422" s="6">
        <v>2</v>
      </c>
      <c r="I422" s="8">
        <f>VLOOKUP(E422,diagnosis!$A$1:$B$11,2,FALSE)</f>
      </c>
      <c r="J422" s="8">
        <f>VLOOKUP(H422,outcomes!$A$1:$B$4,2,FALSE)</f>
      </c>
      <c r="K422" s="6">
        <f>G422-F422</f>
      </c>
      <c r="L422" s="7" t="s">
        <v>60</v>
      </c>
      <c r="M422" s="6">
        <v>14685</v>
      </c>
      <c r="N422" s="7" t="s">
        <v>50</v>
      </c>
    </row>
    <row x14ac:dyDescent="0.25" r="423" customHeight="1" ht="18.75">
      <c r="A423" s="6">
        <v>422</v>
      </c>
      <c r="B423" s="7" t="s">
        <v>889</v>
      </c>
      <c r="C423" s="6">
        <v>13</v>
      </c>
      <c r="D423" s="7" t="s">
        <v>30</v>
      </c>
      <c r="E423" s="6">
        <v>4</v>
      </c>
      <c r="F423" s="7" t="s">
        <v>861</v>
      </c>
      <c r="G423" s="7" t="s">
        <v>890</v>
      </c>
      <c r="H423" s="6">
        <v>1</v>
      </c>
      <c r="I423" s="8">
        <f>VLOOKUP(E423,diagnosis!$A$1:$B$11,2,FALSE)</f>
      </c>
      <c r="J423" s="8">
        <f>VLOOKUP(H423,outcomes!$A$1:$B$4,2,FALSE)</f>
      </c>
      <c r="K423" s="6">
        <f>G423-F423</f>
      </c>
      <c r="L423" s="7" t="s">
        <v>60</v>
      </c>
      <c r="M423" s="6">
        <v>25613</v>
      </c>
      <c r="N423" s="7" t="s">
        <v>34</v>
      </c>
    </row>
    <row x14ac:dyDescent="0.25" r="424" customHeight="1" ht="18.75">
      <c r="A424" s="6">
        <v>423</v>
      </c>
      <c r="B424" s="7" t="s">
        <v>287</v>
      </c>
      <c r="C424" s="6">
        <v>40</v>
      </c>
      <c r="D424" s="7" t="s">
        <v>47</v>
      </c>
      <c r="E424" s="6">
        <v>8</v>
      </c>
      <c r="F424" s="7" t="s">
        <v>238</v>
      </c>
      <c r="G424" s="7" t="s">
        <v>239</v>
      </c>
      <c r="H424" s="6">
        <v>2</v>
      </c>
      <c r="I424" s="8">
        <f>VLOOKUP(E424,diagnosis!$A$1:$B$11,2,FALSE)</f>
      </c>
      <c r="J424" s="8">
        <f>VLOOKUP(H424,outcomes!$A$1:$B$4,2,FALSE)</f>
      </c>
      <c r="K424" s="6">
        <f>G424-F424</f>
      </c>
      <c r="L424" s="7" t="s">
        <v>60</v>
      </c>
      <c r="M424" s="6">
        <v>14252</v>
      </c>
      <c r="N424" s="7" t="s">
        <v>34</v>
      </c>
    </row>
    <row x14ac:dyDescent="0.25" r="425" customHeight="1" ht="18.75">
      <c r="A425" s="6">
        <v>424</v>
      </c>
      <c r="B425" s="7" t="s">
        <v>173</v>
      </c>
      <c r="C425" s="6">
        <v>48</v>
      </c>
      <c r="D425" s="7" t="s">
        <v>47</v>
      </c>
      <c r="E425" s="6">
        <v>6</v>
      </c>
      <c r="F425" s="7" t="s">
        <v>891</v>
      </c>
      <c r="G425" s="7" t="s">
        <v>761</v>
      </c>
      <c r="H425" s="6">
        <v>1</v>
      </c>
      <c r="I425" s="8">
        <f>VLOOKUP(E425,diagnosis!$A$1:$B$11,2,FALSE)</f>
      </c>
      <c r="J425" s="8">
        <f>VLOOKUP(H425,outcomes!$A$1:$B$4,2,FALSE)</f>
      </c>
      <c r="K425" s="6">
        <f>G425-F425</f>
      </c>
      <c r="L425" s="7" t="s">
        <v>60</v>
      </c>
      <c r="M425" s="6">
        <v>27600</v>
      </c>
      <c r="N425" s="7" t="s">
        <v>50</v>
      </c>
    </row>
    <row x14ac:dyDescent="0.25" r="426" customHeight="1" ht="18.75">
      <c r="A426" s="6">
        <v>425</v>
      </c>
      <c r="B426" s="7" t="s">
        <v>228</v>
      </c>
      <c r="C426" s="6">
        <v>34</v>
      </c>
      <c r="D426" s="7" t="s">
        <v>30</v>
      </c>
      <c r="E426" s="6">
        <v>5</v>
      </c>
      <c r="F426" s="7" t="s">
        <v>892</v>
      </c>
      <c r="G426" s="7" t="s">
        <v>893</v>
      </c>
      <c r="H426" s="6">
        <v>3</v>
      </c>
      <c r="I426" s="8">
        <f>VLOOKUP(E426,diagnosis!$A$1:$B$11,2,FALSE)</f>
      </c>
      <c r="J426" s="8">
        <f>VLOOKUP(H426,outcomes!$A$1:$B$4,2,FALSE)</f>
      </c>
      <c r="K426" s="6">
        <f>G426-F426</f>
      </c>
      <c r="L426" s="7" t="s">
        <v>33</v>
      </c>
      <c r="M426" s="6">
        <v>56790</v>
      </c>
      <c r="N426" s="7" t="s">
        <v>34</v>
      </c>
    </row>
    <row x14ac:dyDescent="0.25" r="427" customHeight="1" ht="18.75">
      <c r="A427" s="6">
        <v>426</v>
      </c>
      <c r="B427" s="7" t="s">
        <v>580</v>
      </c>
      <c r="C427" s="6">
        <v>70</v>
      </c>
      <c r="D427" s="7" t="s">
        <v>47</v>
      </c>
      <c r="E427" s="6">
        <v>10</v>
      </c>
      <c r="F427" s="7" t="s">
        <v>447</v>
      </c>
      <c r="G427" s="7" t="s">
        <v>894</v>
      </c>
      <c r="H427" s="6">
        <v>1</v>
      </c>
      <c r="I427" s="8">
        <f>VLOOKUP(E427,diagnosis!$A$1:$B$11,2,FALSE)</f>
      </c>
      <c r="J427" s="8">
        <f>VLOOKUP(H427,outcomes!$A$1:$B$4,2,FALSE)</f>
      </c>
      <c r="K427" s="6">
        <f>G427-F427</f>
      </c>
      <c r="L427" s="7" t="s">
        <v>33</v>
      </c>
      <c r="M427" s="6">
        <v>49440</v>
      </c>
      <c r="N427" s="7" t="s">
        <v>34</v>
      </c>
    </row>
    <row x14ac:dyDescent="0.25" r="428" customHeight="1" ht="18.75">
      <c r="A428" s="6">
        <v>427</v>
      </c>
      <c r="B428" s="7" t="s">
        <v>826</v>
      </c>
      <c r="C428" s="6">
        <v>69</v>
      </c>
      <c r="D428" s="7" t="s">
        <v>47</v>
      </c>
      <c r="E428" s="6">
        <v>10</v>
      </c>
      <c r="F428" s="7" t="s">
        <v>133</v>
      </c>
      <c r="G428" s="7" t="s">
        <v>895</v>
      </c>
      <c r="H428" s="6">
        <v>1</v>
      </c>
      <c r="I428" s="8">
        <f>VLOOKUP(E428,diagnosis!$A$1:$B$11,2,FALSE)</f>
      </c>
      <c r="J428" s="8">
        <f>VLOOKUP(H428,outcomes!$A$1:$B$4,2,FALSE)</f>
      </c>
      <c r="K428" s="6">
        <f>G428-F428</f>
      </c>
      <c r="L428" s="7" t="s">
        <v>33</v>
      </c>
      <c r="M428" s="6">
        <v>60200</v>
      </c>
      <c r="N428" s="7" t="s">
        <v>34</v>
      </c>
    </row>
    <row x14ac:dyDescent="0.25" r="429" customHeight="1" ht="18.75">
      <c r="A429" s="6">
        <v>428</v>
      </c>
      <c r="B429" s="7" t="s">
        <v>287</v>
      </c>
      <c r="C429" s="6">
        <v>65</v>
      </c>
      <c r="D429" s="7" t="s">
        <v>30</v>
      </c>
      <c r="E429" s="6">
        <v>2</v>
      </c>
      <c r="F429" s="7" t="s">
        <v>620</v>
      </c>
      <c r="G429" s="7" t="s">
        <v>657</v>
      </c>
      <c r="H429" s="6">
        <v>2</v>
      </c>
      <c r="I429" s="8">
        <f>VLOOKUP(E429,diagnosis!$A$1:$B$11,2,FALSE)</f>
      </c>
      <c r="J429" s="8">
        <f>VLOOKUP(H429,outcomes!$A$1:$B$4,2,FALSE)</f>
      </c>
      <c r="K429" s="6">
        <f>G429-F429</f>
      </c>
      <c r="L429" s="7" t="s">
        <v>33</v>
      </c>
      <c r="M429" s="6">
        <v>9240</v>
      </c>
      <c r="N429" s="7" t="s">
        <v>34</v>
      </c>
    </row>
    <row x14ac:dyDescent="0.25" r="430" customHeight="1" ht="18.75">
      <c r="A430" s="6">
        <v>429</v>
      </c>
      <c r="B430" s="7" t="s">
        <v>896</v>
      </c>
      <c r="C430" s="6">
        <v>6</v>
      </c>
      <c r="D430" s="7" t="s">
        <v>47</v>
      </c>
      <c r="E430" s="6">
        <v>2</v>
      </c>
      <c r="F430" s="7" t="s">
        <v>585</v>
      </c>
      <c r="G430" s="7" t="s">
        <v>721</v>
      </c>
      <c r="H430" s="6">
        <v>3</v>
      </c>
      <c r="I430" s="8">
        <f>VLOOKUP(E430,diagnosis!$A$1:$B$11,2,FALSE)</f>
      </c>
      <c r="J430" s="8">
        <f>VLOOKUP(H430,outcomes!$A$1:$B$4,2,FALSE)</f>
      </c>
      <c r="K430" s="6">
        <f>G430-F430</f>
      </c>
      <c r="L430" s="7" t="s">
        <v>60</v>
      </c>
      <c r="M430" s="6">
        <v>19075</v>
      </c>
      <c r="N430" s="7" t="s">
        <v>50</v>
      </c>
    </row>
    <row x14ac:dyDescent="0.25" r="431" customHeight="1" ht="18.75">
      <c r="A431" s="6">
        <v>430</v>
      </c>
      <c r="B431" s="7" t="s">
        <v>431</v>
      </c>
      <c r="C431" s="6">
        <v>9</v>
      </c>
      <c r="D431" s="7" t="s">
        <v>30</v>
      </c>
      <c r="E431" s="6">
        <v>7</v>
      </c>
      <c r="F431" s="7" t="s">
        <v>897</v>
      </c>
      <c r="G431" s="7" t="s">
        <v>898</v>
      </c>
      <c r="H431" s="6">
        <v>3</v>
      </c>
      <c r="I431" s="8">
        <f>VLOOKUP(E431,diagnosis!$A$1:$B$11,2,FALSE)</f>
      </c>
      <c r="J431" s="8">
        <f>VLOOKUP(H431,outcomes!$A$1:$B$4,2,FALSE)</f>
      </c>
      <c r="K431" s="6">
        <f>G431-F431</f>
      </c>
      <c r="L431" s="7" t="s">
        <v>33</v>
      </c>
      <c r="M431" s="6">
        <v>25168</v>
      </c>
      <c r="N431" s="7" t="s">
        <v>34</v>
      </c>
    </row>
    <row x14ac:dyDescent="0.25" r="432" customHeight="1" ht="18.75">
      <c r="A432" s="6">
        <v>431</v>
      </c>
      <c r="B432" s="7" t="s">
        <v>714</v>
      </c>
      <c r="C432" s="6">
        <v>59</v>
      </c>
      <c r="D432" s="7" t="s">
        <v>30</v>
      </c>
      <c r="E432" s="6">
        <v>10</v>
      </c>
      <c r="F432" s="7" t="s">
        <v>899</v>
      </c>
      <c r="G432" s="7" t="s">
        <v>900</v>
      </c>
      <c r="H432" s="6">
        <v>3</v>
      </c>
      <c r="I432" s="8">
        <f>VLOOKUP(E432,diagnosis!$A$1:$B$11,2,FALSE)</f>
      </c>
      <c r="J432" s="8">
        <f>VLOOKUP(H432,outcomes!$A$1:$B$4,2,FALSE)</f>
      </c>
      <c r="K432" s="6">
        <f>G432-F432</f>
      </c>
      <c r="L432" s="7" t="s">
        <v>33</v>
      </c>
      <c r="M432" s="6">
        <v>61421</v>
      </c>
      <c r="N432" s="7" t="s">
        <v>39</v>
      </c>
    </row>
    <row x14ac:dyDescent="0.25" r="433" customHeight="1" ht="18.75">
      <c r="A433" s="6">
        <v>432</v>
      </c>
      <c r="B433" s="7" t="s">
        <v>391</v>
      </c>
      <c r="C433" s="6">
        <v>19</v>
      </c>
      <c r="D433" s="7" t="s">
        <v>30</v>
      </c>
      <c r="E433" s="6">
        <v>2</v>
      </c>
      <c r="F433" s="7" t="s">
        <v>198</v>
      </c>
      <c r="G433" s="7" t="s">
        <v>215</v>
      </c>
      <c r="H433" s="6">
        <v>3</v>
      </c>
      <c r="I433" s="8">
        <f>VLOOKUP(E433,diagnosis!$A$1:$B$11,2,FALSE)</f>
      </c>
      <c r="J433" s="8">
        <f>VLOOKUP(H433,outcomes!$A$1:$B$4,2,FALSE)</f>
      </c>
      <c r="K433" s="6">
        <f>G433-F433</f>
      </c>
      <c r="L433" s="7" t="s">
        <v>60</v>
      </c>
      <c r="M433" s="6">
        <v>11490</v>
      </c>
      <c r="N433" s="7" t="s">
        <v>50</v>
      </c>
    </row>
    <row x14ac:dyDescent="0.25" r="434" customHeight="1" ht="18.75">
      <c r="A434" s="6">
        <v>433</v>
      </c>
      <c r="B434" s="7" t="s">
        <v>185</v>
      </c>
      <c r="C434" s="6">
        <v>34</v>
      </c>
      <c r="D434" s="7" t="s">
        <v>47</v>
      </c>
      <c r="E434" s="6">
        <v>8</v>
      </c>
      <c r="F434" s="7" t="s">
        <v>901</v>
      </c>
      <c r="G434" s="7" t="s">
        <v>776</v>
      </c>
      <c r="H434" s="6">
        <v>3</v>
      </c>
      <c r="I434" s="8">
        <f>VLOOKUP(E434,diagnosis!$A$1:$B$11,2,FALSE)</f>
      </c>
      <c r="J434" s="8">
        <f>VLOOKUP(H434,outcomes!$A$1:$B$4,2,FALSE)</f>
      </c>
      <c r="K434" s="6">
        <f>G434-F434</f>
      </c>
      <c r="L434" s="7" t="s">
        <v>33</v>
      </c>
      <c r="M434" s="6">
        <v>50386</v>
      </c>
      <c r="N434" s="7" t="s">
        <v>39</v>
      </c>
    </row>
    <row x14ac:dyDescent="0.25" r="435" customHeight="1" ht="18.75">
      <c r="A435" s="6">
        <v>434</v>
      </c>
      <c r="B435" s="7" t="s">
        <v>612</v>
      </c>
      <c r="C435" s="6">
        <v>52</v>
      </c>
      <c r="D435" s="7" t="s">
        <v>30</v>
      </c>
      <c r="E435" s="6">
        <v>10</v>
      </c>
      <c r="F435" s="7" t="s">
        <v>902</v>
      </c>
      <c r="G435" s="7" t="s">
        <v>903</v>
      </c>
      <c r="H435" s="6">
        <v>3</v>
      </c>
      <c r="I435" s="8">
        <f>VLOOKUP(E435,diagnosis!$A$1:$B$11,2,FALSE)</f>
      </c>
      <c r="J435" s="8">
        <f>VLOOKUP(H435,outcomes!$A$1:$B$4,2,FALSE)</f>
      </c>
      <c r="K435" s="6">
        <f>G435-F435</f>
      </c>
      <c r="L435" s="7" t="s">
        <v>33</v>
      </c>
      <c r="M435" s="6">
        <v>42957</v>
      </c>
      <c r="N435" s="7" t="s">
        <v>39</v>
      </c>
    </row>
    <row x14ac:dyDescent="0.25" r="436" customHeight="1" ht="18.75">
      <c r="A436" s="6">
        <v>435</v>
      </c>
      <c r="B436" s="7" t="s">
        <v>904</v>
      </c>
      <c r="C436" s="6">
        <v>89</v>
      </c>
      <c r="D436" s="7" t="s">
        <v>30</v>
      </c>
      <c r="E436" s="6">
        <v>1</v>
      </c>
      <c r="F436" s="7" t="s">
        <v>657</v>
      </c>
      <c r="G436" s="7" t="s">
        <v>733</v>
      </c>
      <c r="H436" s="6">
        <v>3</v>
      </c>
      <c r="I436" s="8">
        <f>VLOOKUP(E436,diagnosis!$A$1:$B$11,2,FALSE)</f>
      </c>
      <c r="J436" s="8">
        <f>VLOOKUP(H436,outcomes!$A$1:$B$4,2,FALSE)</f>
      </c>
      <c r="K436" s="6">
        <f>G436-F436</f>
      </c>
      <c r="L436" s="7" t="s">
        <v>33</v>
      </c>
      <c r="M436" s="6">
        <v>29348</v>
      </c>
      <c r="N436" s="7" t="s">
        <v>34</v>
      </c>
    </row>
    <row x14ac:dyDescent="0.25" r="437" customHeight="1" ht="18.75">
      <c r="A437" s="6">
        <v>436</v>
      </c>
      <c r="B437" s="7" t="s">
        <v>425</v>
      </c>
      <c r="C437" s="6">
        <v>39</v>
      </c>
      <c r="D437" s="7" t="s">
        <v>47</v>
      </c>
      <c r="E437" s="6">
        <v>5</v>
      </c>
      <c r="F437" s="7" t="s">
        <v>905</v>
      </c>
      <c r="G437" s="7" t="s">
        <v>310</v>
      </c>
      <c r="H437" s="6">
        <v>2</v>
      </c>
      <c r="I437" s="8">
        <f>VLOOKUP(E437,diagnosis!$A$1:$B$11,2,FALSE)</f>
      </c>
      <c r="J437" s="8">
        <f>VLOOKUP(H437,outcomes!$A$1:$B$4,2,FALSE)</f>
      </c>
      <c r="K437" s="6">
        <f>G437-F437</f>
      </c>
      <c r="L437" s="7" t="s">
        <v>33</v>
      </c>
      <c r="M437" s="6">
        <v>52844</v>
      </c>
      <c r="N437" s="7" t="s">
        <v>50</v>
      </c>
    </row>
    <row x14ac:dyDescent="0.25" r="438" customHeight="1" ht="18.75">
      <c r="A438" s="6">
        <v>437</v>
      </c>
      <c r="B438" s="7" t="s">
        <v>804</v>
      </c>
      <c r="C438" s="6">
        <v>57</v>
      </c>
      <c r="D438" s="7" t="s">
        <v>47</v>
      </c>
      <c r="E438" s="6">
        <v>5</v>
      </c>
      <c r="F438" s="7" t="s">
        <v>840</v>
      </c>
      <c r="G438" s="7" t="s">
        <v>71</v>
      </c>
      <c r="H438" s="6">
        <v>3</v>
      </c>
      <c r="I438" s="8">
        <f>VLOOKUP(E438,diagnosis!$A$1:$B$11,2,FALSE)</f>
      </c>
      <c r="J438" s="8">
        <f>VLOOKUP(H438,outcomes!$A$1:$B$4,2,FALSE)</f>
      </c>
      <c r="K438" s="6">
        <f>G438-F438</f>
      </c>
      <c r="L438" s="7" t="s">
        <v>33</v>
      </c>
      <c r="M438" s="6">
        <v>37470</v>
      </c>
      <c r="N438" s="7" t="s">
        <v>50</v>
      </c>
    </row>
    <row x14ac:dyDescent="0.25" r="439" customHeight="1" ht="18.75">
      <c r="A439" s="6">
        <v>438</v>
      </c>
      <c r="B439" s="7" t="s">
        <v>351</v>
      </c>
      <c r="C439" s="6">
        <v>28</v>
      </c>
      <c r="D439" s="7" t="s">
        <v>47</v>
      </c>
      <c r="E439" s="6">
        <v>8</v>
      </c>
      <c r="F439" s="7" t="s">
        <v>176</v>
      </c>
      <c r="G439" s="7" t="s">
        <v>721</v>
      </c>
      <c r="H439" s="6">
        <v>3</v>
      </c>
      <c r="I439" s="8">
        <f>VLOOKUP(E439,diagnosis!$A$1:$B$11,2,FALSE)</f>
      </c>
      <c r="J439" s="8">
        <f>VLOOKUP(H439,outcomes!$A$1:$B$4,2,FALSE)</f>
      </c>
      <c r="K439" s="6">
        <f>G439-F439</f>
      </c>
      <c r="L439" s="7" t="s">
        <v>33</v>
      </c>
      <c r="M439" s="6">
        <v>47775</v>
      </c>
      <c r="N439" s="7" t="s">
        <v>39</v>
      </c>
    </row>
    <row x14ac:dyDescent="0.25" r="440" customHeight="1" ht="18.75">
      <c r="A440" s="6">
        <v>439</v>
      </c>
      <c r="B440" s="7" t="s">
        <v>906</v>
      </c>
      <c r="C440" s="6">
        <v>40</v>
      </c>
      <c r="D440" s="7" t="s">
        <v>47</v>
      </c>
      <c r="E440" s="6">
        <v>3</v>
      </c>
      <c r="F440" s="7" t="s">
        <v>907</v>
      </c>
      <c r="G440" s="7" t="s">
        <v>427</v>
      </c>
      <c r="H440" s="6">
        <v>3</v>
      </c>
      <c r="I440" s="8">
        <f>VLOOKUP(E440,diagnosis!$A$1:$B$11,2,FALSE)</f>
      </c>
      <c r="J440" s="8">
        <f>VLOOKUP(H440,outcomes!$A$1:$B$4,2,FALSE)</f>
      </c>
      <c r="K440" s="6">
        <f>G440-F440</f>
      </c>
      <c r="L440" s="7" t="s">
        <v>60</v>
      </c>
      <c r="M440" s="6">
        <v>14445</v>
      </c>
      <c r="N440" s="7" t="s">
        <v>39</v>
      </c>
    </row>
    <row x14ac:dyDescent="0.25" r="441" customHeight="1" ht="18.75">
      <c r="A441" s="6">
        <v>440</v>
      </c>
      <c r="B441" s="7" t="s">
        <v>43</v>
      </c>
      <c r="C441" s="6">
        <v>8</v>
      </c>
      <c r="D441" s="7" t="s">
        <v>30</v>
      </c>
      <c r="E441" s="6">
        <v>1</v>
      </c>
      <c r="F441" s="7" t="s">
        <v>585</v>
      </c>
      <c r="G441" s="7" t="s">
        <v>865</v>
      </c>
      <c r="H441" s="6">
        <v>2</v>
      </c>
      <c r="I441" s="8">
        <f>VLOOKUP(E441,diagnosis!$A$1:$B$11,2,FALSE)</f>
      </c>
      <c r="J441" s="8">
        <f>VLOOKUP(H441,outcomes!$A$1:$B$4,2,FALSE)</f>
      </c>
      <c r="K441" s="6">
        <f>G441-F441</f>
      </c>
      <c r="L441" s="7" t="s">
        <v>60</v>
      </c>
      <c r="M441" s="6">
        <v>22666</v>
      </c>
      <c r="N441" s="7" t="s">
        <v>39</v>
      </c>
    </row>
    <row x14ac:dyDescent="0.25" r="442" customHeight="1" ht="18.75">
      <c r="A442" s="6">
        <v>441</v>
      </c>
      <c r="B442" s="7" t="s">
        <v>161</v>
      </c>
      <c r="C442" s="6">
        <v>60</v>
      </c>
      <c r="D442" s="7" t="s">
        <v>47</v>
      </c>
      <c r="E442" s="6">
        <v>2</v>
      </c>
      <c r="F442" s="7" t="s">
        <v>908</v>
      </c>
      <c r="G442" s="7" t="s">
        <v>909</v>
      </c>
      <c r="H442" s="6">
        <v>3</v>
      </c>
      <c r="I442" s="8">
        <f>VLOOKUP(E442,diagnosis!$A$1:$B$11,2,FALSE)</f>
      </c>
      <c r="J442" s="8">
        <f>VLOOKUP(H442,outcomes!$A$1:$B$4,2,FALSE)</f>
      </c>
      <c r="K442" s="6">
        <f>G442-F442</f>
      </c>
      <c r="L442" s="7" t="s">
        <v>33</v>
      </c>
      <c r="M442" s="6">
        <v>28308</v>
      </c>
      <c r="N442" s="7" t="s">
        <v>34</v>
      </c>
    </row>
    <row x14ac:dyDescent="0.25" r="443" customHeight="1" ht="18.75">
      <c r="A443" s="6">
        <v>442</v>
      </c>
      <c r="B443" s="7" t="s">
        <v>141</v>
      </c>
      <c r="C443" s="6">
        <v>58</v>
      </c>
      <c r="D443" s="7" t="s">
        <v>30</v>
      </c>
      <c r="E443" s="6">
        <v>8</v>
      </c>
      <c r="F443" s="7" t="s">
        <v>88</v>
      </c>
      <c r="G443" s="7" t="s">
        <v>876</v>
      </c>
      <c r="H443" s="6">
        <v>3</v>
      </c>
      <c r="I443" s="8">
        <f>VLOOKUP(E443,diagnosis!$A$1:$B$11,2,FALSE)</f>
      </c>
      <c r="J443" s="8">
        <f>VLOOKUP(H443,outcomes!$A$1:$B$4,2,FALSE)</f>
      </c>
      <c r="K443" s="6">
        <f>G443-F443</f>
      </c>
      <c r="L443" s="7" t="s">
        <v>33</v>
      </c>
      <c r="M443" s="6">
        <v>95200</v>
      </c>
      <c r="N443" s="7" t="s">
        <v>39</v>
      </c>
    </row>
    <row x14ac:dyDescent="0.25" r="444" customHeight="1" ht="18.75">
      <c r="A444" s="6">
        <v>443</v>
      </c>
      <c r="B444" s="7" t="s">
        <v>355</v>
      </c>
      <c r="C444" s="6">
        <v>89</v>
      </c>
      <c r="D444" s="7" t="s">
        <v>30</v>
      </c>
      <c r="E444" s="6">
        <v>5</v>
      </c>
      <c r="F444" s="7" t="s">
        <v>910</v>
      </c>
      <c r="G444" s="7" t="s">
        <v>911</v>
      </c>
      <c r="H444" s="6">
        <v>1</v>
      </c>
      <c r="I444" s="8">
        <f>VLOOKUP(E444,diagnosis!$A$1:$B$11,2,FALSE)</f>
      </c>
      <c r="J444" s="8">
        <f>VLOOKUP(H444,outcomes!$A$1:$B$4,2,FALSE)</f>
      </c>
      <c r="K444" s="6">
        <f>G444-F444</f>
      </c>
      <c r="L444" s="7" t="s">
        <v>33</v>
      </c>
      <c r="M444" s="6">
        <v>22005</v>
      </c>
      <c r="N444" s="7" t="s">
        <v>34</v>
      </c>
    </row>
    <row x14ac:dyDescent="0.25" r="445" customHeight="1" ht="18.75">
      <c r="A445" s="6">
        <v>444</v>
      </c>
      <c r="B445" s="7" t="s">
        <v>912</v>
      </c>
      <c r="C445" s="6">
        <v>83</v>
      </c>
      <c r="D445" s="7" t="s">
        <v>30</v>
      </c>
      <c r="E445" s="6">
        <v>4</v>
      </c>
      <c r="F445" s="7" t="s">
        <v>105</v>
      </c>
      <c r="G445" s="7" t="s">
        <v>756</v>
      </c>
      <c r="H445" s="6">
        <v>2</v>
      </c>
      <c r="I445" s="8">
        <f>VLOOKUP(E445,diagnosis!$A$1:$B$11,2,FALSE)</f>
      </c>
      <c r="J445" s="8">
        <f>VLOOKUP(H445,outcomes!$A$1:$B$4,2,FALSE)</f>
      </c>
      <c r="K445" s="6">
        <f>G445-F445</f>
      </c>
      <c r="L445" s="7" t="s">
        <v>33</v>
      </c>
      <c r="M445" s="6">
        <v>35608</v>
      </c>
      <c r="N445" s="7" t="s">
        <v>39</v>
      </c>
    </row>
    <row x14ac:dyDescent="0.25" r="446" customHeight="1" ht="18.75">
      <c r="A446" s="6">
        <v>445</v>
      </c>
      <c r="B446" s="7" t="s">
        <v>913</v>
      </c>
      <c r="C446" s="6">
        <v>61</v>
      </c>
      <c r="D446" s="7" t="s">
        <v>30</v>
      </c>
      <c r="E446" s="6">
        <v>3</v>
      </c>
      <c r="F446" s="7" t="s">
        <v>905</v>
      </c>
      <c r="G446" s="7" t="s">
        <v>409</v>
      </c>
      <c r="H446" s="6">
        <v>3</v>
      </c>
      <c r="I446" s="8">
        <f>VLOOKUP(E446,diagnosis!$A$1:$B$11,2,FALSE)</f>
      </c>
      <c r="J446" s="8">
        <f>VLOOKUP(H446,outcomes!$A$1:$B$4,2,FALSE)</f>
      </c>
      <c r="K446" s="6">
        <f>G446-F446</f>
      </c>
      <c r="L446" s="7" t="s">
        <v>33</v>
      </c>
      <c r="M446" s="6">
        <v>3307</v>
      </c>
      <c r="N446" s="7" t="s">
        <v>50</v>
      </c>
    </row>
    <row x14ac:dyDescent="0.25" r="447" customHeight="1" ht="18.75">
      <c r="A447" s="6">
        <v>446</v>
      </c>
      <c r="B447" s="7" t="s">
        <v>167</v>
      </c>
      <c r="C447" s="6">
        <v>55</v>
      </c>
      <c r="D447" s="7" t="s">
        <v>47</v>
      </c>
      <c r="E447" s="6">
        <v>6</v>
      </c>
      <c r="F447" s="7" t="s">
        <v>171</v>
      </c>
      <c r="G447" s="7" t="s">
        <v>914</v>
      </c>
      <c r="H447" s="6">
        <v>2</v>
      </c>
      <c r="I447" s="8">
        <f>VLOOKUP(E447,diagnosis!$A$1:$B$11,2,FALSE)</f>
      </c>
      <c r="J447" s="8">
        <f>VLOOKUP(H447,outcomes!$A$1:$B$4,2,FALSE)</f>
      </c>
      <c r="K447" s="6">
        <f>G447-F447</f>
      </c>
      <c r="L447" s="7" t="s">
        <v>33</v>
      </c>
      <c r="M447" s="6">
        <v>27792</v>
      </c>
      <c r="N447" s="7" t="s">
        <v>39</v>
      </c>
    </row>
    <row x14ac:dyDescent="0.25" r="448" customHeight="1" ht="18.75">
      <c r="A448" s="6">
        <v>447</v>
      </c>
      <c r="B448" s="7" t="s">
        <v>915</v>
      </c>
      <c r="C448" s="6">
        <v>80</v>
      </c>
      <c r="D448" s="7" t="s">
        <v>47</v>
      </c>
      <c r="E448" s="6">
        <v>10</v>
      </c>
      <c r="F448" s="7" t="s">
        <v>713</v>
      </c>
      <c r="G448" s="7" t="s">
        <v>493</v>
      </c>
      <c r="H448" s="6">
        <v>1</v>
      </c>
      <c r="I448" s="8">
        <f>VLOOKUP(E448,diagnosis!$A$1:$B$11,2,FALSE)</f>
      </c>
      <c r="J448" s="8">
        <f>VLOOKUP(H448,outcomes!$A$1:$B$4,2,FALSE)</f>
      </c>
      <c r="K448" s="6">
        <f>G448-F448</f>
      </c>
      <c r="L448" s="7" t="s">
        <v>33</v>
      </c>
      <c r="M448" s="6">
        <v>63274</v>
      </c>
      <c r="N448" s="7" t="s">
        <v>34</v>
      </c>
    </row>
    <row x14ac:dyDescent="0.25" r="449" customHeight="1" ht="18.75">
      <c r="A449" s="6">
        <v>448</v>
      </c>
      <c r="B449" s="7" t="s">
        <v>567</v>
      </c>
      <c r="C449" s="6">
        <v>88</v>
      </c>
      <c r="D449" s="7" t="s">
        <v>30</v>
      </c>
      <c r="E449" s="6">
        <v>8</v>
      </c>
      <c r="F449" s="7" t="s">
        <v>916</v>
      </c>
      <c r="G449" s="7" t="s">
        <v>702</v>
      </c>
      <c r="H449" s="6">
        <v>1</v>
      </c>
      <c r="I449" s="8">
        <f>VLOOKUP(E449,diagnosis!$A$1:$B$11,2,FALSE)</f>
      </c>
      <c r="J449" s="8">
        <f>VLOOKUP(H449,outcomes!$A$1:$B$4,2,FALSE)</f>
      </c>
      <c r="K449" s="6">
        <f>G449-F449</f>
      </c>
      <c r="L449" s="7" t="s">
        <v>33</v>
      </c>
      <c r="M449" s="6">
        <v>30410</v>
      </c>
      <c r="N449" s="7" t="s">
        <v>39</v>
      </c>
    </row>
    <row x14ac:dyDescent="0.25" r="450" customHeight="1" ht="18.75">
      <c r="A450" s="6">
        <v>449</v>
      </c>
      <c r="B450" s="7" t="s">
        <v>917</v>
      </c>
      <c r="C450" s="6">
        <v>84</v>
      </c>
      <c r="D450" s="7" t="s">
        <v>47</v>
      </c>
      <c r="E450" s="6">
        <v>4</v>
      </c>
      <c r="F450" s="7" t="s">
        <v>149</v>
      </c>
      <c r="G450" s="7" t="s">
        <v>589</v>
      </c>
      <c r="H450" s="6">
        <v>1</v>
      </c>
      <c r="I450" s="8">
        <f>VLOOKUP(E450,diagnosis!$A$1:$B$11,2,FALSE)</f>
      </c>
      <c r="J450" s="8">
        <f>VLOOKUP(H450,outcomes!$A$1:$B$4,2,FALSE)</f>
      </c>
      <c r="K450" s="6">
        <f>G450-F450</f>
      </c>
      <c r="L450" s="7" t="s">
        <v>33</v>
      </c>
      <c r="M450" s="6">
        <v>27846</v>
      </c>
      <c r="N450" s="7" t="s">
        <v>34</v>
      </c>
    </row>
    <row x14ac:dyDescent="0.25" r="451" customHeight="1" ht="18.75">
      <c r="A451" s="6">
        <v>450</v>
      </c>
      <c r="B451" s="7" t="s">
        <v>640</v>
      </c>
      <c r="C451" s="6">
        <v>88</v>
      </c>
      <c r="D451" s="7" t="s">
        <v>30</v>
      </c>
      <c r="E451" s="6">
        <v>1</v>
      </c>
      <c r="F451" s="7" t="s">
        <v>918</v>
      </c>
      <c r="G451" s="7" t="s">
        <v>919</v>
      </c>
      <c r="H451" s="6">
        <v>3</v>
      </c>
      <c r="I451" s="8">
        <f>VLOOKUP(E451,diagnosis!$A$1:$B$11,2,FALSE)</f>
      </c>
      <c r="J451" s="8">
        <f>VLOOKUP(H451,outcomes!$A$1:$B$4,2,FALSE)</f>
      </c>
      <c r="K451" s="6">
        <f>G451-F451</f>
      </c>
      <c r="L451" s="7" t="s">
        <v>33</v>
      </c>
      <c r="M451" s="6">
        <v>53570</v>
      </c>
      <c r="N451" s="7" t="s">
        <v>39</v>
      </c>
    </row>
    <row x14ac:dyDescent="0.25" r="452" customHeight="1" ht="18.75">
      <c r="A452" s="6">
        <v>451</v>
      </c>
      <c r="B452" s="7" t="s">
        <v>475</v>
      </c>
      <c r="C452" s="6">
        <v>50</v>
      </c>
      <c r="D452" s="7" t="s">
        <v>30</v>
      </c>
      <c r="E452" s="6">
        <v>10</v>
      </c>
      <c r="F452" s="7" t="s">
        <v>508</v>
      </c>
      <c r="G452" s="7" t="s">
        <v>920</v>
      </c>
      <c r="H452" s="6">
        <v>3</v>
      </c>
      <c r="I452" s="8">
        <f>VLOOKUP(E452,diagnosis!$A$1:$B$11,2,FALSE)</f>
      </c>
      <c r="J452" s="8">
        <f>VLOOKUP(H452,outcomes!$A$1:$B$4,2,FALSE)</f>
      </c>
      <c r="K452" s="6">
        <f>G452-F452</f>
      </c>
      <c r="L452" s="7" t="s">
        <v>33</v>
      </c>
      <c r="M452" s="6">
        <v>38168</v>
      </c>
      <c r="N452" s="7" t="s">
        <v>34</v>
      </c>
    </row>
    <row x14ac:dyDescent="0.25" r="453" customHeight="1" ht="18.75">
      <c r="A453" s="6">
        <v>452</v>
      </c>
      <c r="B453" s="7" t="s">
        <v>271</v>
      </c>
      <c r="C453" s="6">
        <v>82</v>
      </c>
      <c r="D453" s="7" t="s">
        <v>47</v>
      </c>
      <c r="E453" s="6">
        <v>6</v>
      </c>
      <c r="F453" s="7" t="s">
        <v>921</v>
      </c>
      <c r="G453" s="7" t="s">
        <v>922</v>
      </c>
      <c r="H453" s="6">
        <v>3</v>
      </c>
      <c r="I453" s="8">
        <f>VLOOKUP(E453,diagnosis!$A$1:$B$11,2,FALSE)</f>
      </c>
      <c r="J453" s="8">
        <f>VLOOKUP(H453,outcomes!$A$1:$B$4,2,FALSE)</f>
      </c>
      <c r="K453" s="6">
        <f>G453-F453</f>
      </c>
      <c r="L453" s="7" t="s">
        <v>33</v>
      </c>
      <c r="M453" s="6">
        <v>38664</v>
      </c>
      <c r="N453" s="7" t="s">
        <v>39</v>
      </c>
    </row>
    <row x14ac:dyDescent="0.25" r="454" customHeight="1" ht="18.75">
      <c r="A454" s="6">
        <v>453</v>
      </c>
      <c r="B454" s="7" t="s">
        <v>762</v>
      </c>
      <c r="C454" s="6">
        <v>13</v>
      </c>
      <c r="D454" s="7" t="s">
        <v>47</v>
      </c>
      <c r="E454" s="6">
        <v>3</v>
      </c>
      <c r="F454" s="7" t="s">
        <v>923</v>
      </c>
      <c r="G454" s="7" t="s">
        <v>720</v>
      </c>
      <c r="H454" s="6">
        <v>3</v>
      </c>
      <c r="I454" s="8">
        <f>VLOOKUP(E454,diagnosis!$A$1:$B$11,2,FALSE)</f>
      </c>
      <c r="J454" s="8">
        <f>VLOOKUP(H454,outcomes!$A$1:$B$4,2,FALSE)</f>
      </c>
      <c r="K454" s="6">
        <f>G454-F454</f>
      </c>
      <c r="L454" s="7" t="s">
        <v>33</v>
      </c>
      <c r="M454" s="6">
        <v>44520</v>
      </c>
      <c r="N454" s="7" t="s">
        <v>34</v>
      </c>
    </row>
    <row x14ac:dyDescent="0.25" r="455" customHeight="1" ht="18.75">
      <c r="A455" s="6">
        <v>454</v>
      </c>
      <c r="B455" s="7" t="s">
        <v>363</v>
      </c>
      <c r="C455" s="6">
        <v>29</v>
      </c>
      <c r="D455" s="7" t="s">
        <v>47</v>
      </c>
      <c r="E455" s="6">
        <v>4</v>
      </c>
      <c r="F455" s="7" t="s">
        <v>877</v>
      </c>
      <c r="G455" s="7" t="s">
        <v>350</v>
      </c>
      <c r="H455" s="6">
        <v>3</v>
      </c>
      <c r="I455" s="8">
        <f>VLOOKUP(E455,diagnosis!$A$1:$B$11,2,FALSE)</f>
      </c>
      <c r="J455" s="8">
        <f>VLOOKUP(H455,outcomes!$A$1:$B$4,2,FALSE)</f>
      </c>
      <c r="K455" s="6">
        <f>G455-F455</f>
      </c>
      <c r="L455" s="7" t="s">
        <v>38</v>
      </c>
      <c r="M455" s="6">
        <v>7989</v>
      </c>
      <c r="N455" s="7" t="s">
        <v>39</v>
      </c>
    </row>
    <row x14ac:dyDescent="0.25" r="456" customHeight="1" ht="18.75">
      <c r="A456" s="6">
        <v>455</v>
      </c>
      <c r="B456" s="7" t="s">
        <v>924</v>
      </c>
      <c r="C456" s="6">
        <v>75</v>
      </c>
      <c r="D456" s="7" t="s">
        <v>47</v>
      </c>
      <c r="E456" s="6">
        <v>8</v>
      </c>
      <c r="F456" s="7" t="s">
        <v>925</v>
      </c>
      <c r="G456" s="7" t="s">
        <v>926</v>
      </c>
      <c r="H456" s="6">
        <v>1</v>
      </c>
      <c r="I456" s="8">
        <f>VLOOKUP(E456,diagnosis!$A$1:$B$11,2,FALSE)</f>
      </c>
      <c r="J456" s="8">
        <f>VLOOKUP(H456,outcomes!$A$1:$B$4,2,FALSE)</f>
      </c>
      <c r="K456" s="6">
        <f>G456-F456</f>
      </c>
      <c r="L456" s="7" t="s">
        <v>33</v>
      </c>
      <c r="M456" s="6">
        <v>41166</v>
      </c>
      <c r="N456" s="7" t="s">
        <v>39</v>
      </c>
    </row>
    <row x14ac:dyDescent="0.25" r="457" customHeight="1" ht="18.75">
      <c r="A457" s="6">
        <v>456</v>
      </c>
      <c r="B457" s="7" t="s">
        <v>593</v>
      </c>
      <c r="C457" s="6">
        <v>25</v>
      </c>
      <c r="D457" s="7" t="s">
        <v>30</v>
      </c>
      <c r="E457" s="6">
        <v>7</v>
      </c>
      <c r="F457" s="7" t="s">
        <v>548</v>
      </c>
      <c r="G457" s="7" t="s">
        <v>90</v>
      </c>
      <c r="H457" s="6">
        <v>3</v>
      </c>
      <c r="I457" s="8">
        <f>VLOOKUP(E457,diagnosis!$A$1:$B$11,2,FALSE)</f>
      </c>
      <c r="J457" s="8">
        <f>VLOOKUP(H457,outcomes!$A$1:$B$4,2,FALSE)</f>
      </c>
      <c r="K457" s="6">
        <f>G457-F457</f>
      </c>
      <c r="L457" s="7" t="s">
        <v>33</v>
      </c>
      <c r="M457" s="6">
        <v>33824</v>
      </c>
      <c r="N457" s="7" t="s">
        <v>39</v>
      </c>
    </row>
    <row x14ac:dyDescent="0.25" r="458" customHeight="1" ht="18.75">
      <c r="A458" s="6">
        <v>457</v>
      </c>
      <c r="B458" s="7" t="s">
        <v>341</v>
      </c>
      <c r="C458" s="6">
        <v>26</v>
      </c>
      <c r="D458" s="7" t="s">
        <v>47</v>
      </c>
      <c r="E458" s="6">
        <v>7</v>
      </c>
      <c r="F458" s="7" t="s">
        <v>927</v>
      </c>
      <c r="G458" s="7" t="s">
        <v>928</v>
      </c>
      <c r="H458" s="6">
        <v>3</v>
      </c>
      <c r="I458" s="8">
        <f>VLOOKUP(E458,diagnosis!$A$1:$B$11,2,FALSE)</f>
      </c>
      <c r="J458" s="8">
        <f>VLOOKUP(H458,outcomes!$A$1:$B$4,2,FALSE)</f>
      </c>
      <c r="K458" s="6">
        <f>G458-F458</f>
      </c>
      <c r="L458" s="7" t="s">
        <v>60</v>
      </c>
      <c r="M458" s="6">
        <v>12140</v>
      </c>
      <c r="N458" s="7" t="s">
        <v>39</v>
      </c>
    </row>
    <row x14ac:dyDescent="0.25" r="459" customHeight="1" ht="18.75">
      <c r="A459" s="6">
        <v>458</v>
      </c>
      <c r="B459" s="7" t="s">
        <v>599</v>
      </c>
      <c r="C459" s="6">
        <v>63</v>
      </c>
      <c r="D459" s="7" t="s">
        <v>47</v>
      </c>
      <c r="E459" s="6">
        <v>3</v>
      </c>
      <c r="F459" s="7" t="s">
        <v>438</v>
      </c>
      <c r="G459" s="7" t="s">
        <v>929</v>
      </c>
      <c r="H459" s="6">
        <v>2</v>
      </c>
      <c r="I459" s="8">
        <f>VLOOKUP(E459,diagnosis!$A$1:$B$11,2,FALSE)</f>
      </c>
      <c r="J459" s="8">
        <f>VLOOKUP(H459,outcomes!$A$1:$B$4,2,FALSE)</f>
      </c>
      <c r="K459" s="6">
        <f>G459-F459</f>
      </c>
      <c r="L459" s="7" t="s">
        <v>33</v>
      </c>
      <c r="M459" s="6">
        <v>6969</v>
      </c>
      <c r="N459" s="7" t="s">
        <v>39</v>
      </c>
    </row>
    <row x14ac:dyDescent="0.25" r="460" customHeight="1" ht="18.75">
      <c r="A460" s="6">
        <v>459</v>
      </c>
      <c r="B460" s="7" t="s">
        <v>930</v>
      </c>
      <c r="C460" s="6">
        <v>27</v>
      </c>
      <c r="D460" s="7" t="s">
        <v>30</v>
      </c>
      <c r="E460" s="6">
        <v>10</v>
      </c>
      <c r="F460" s="7" t="s">
        <v>931</v>
      </c>
      <c r="G460" s="7" t="s">
        <v>669</v>
      </c>
      <c r="H460" s="6">
        <v>1</v>
      </c>
      <c r="I460" s="8">
        <f>VLOOKUP(E460,diagnosis!$A$1:$B$11,2,FALSE)</f>
      </c>
      <c r="J460" s="8">
        <f>VLOOKUP(H460,outcomes!$A$1:$B$4,2,FALSE)</f>
      </c>
      <c r="K460" s="6">
        <f>G460-F460</f>
      </c>
      <c r="L460" s="7" t="s">
        <v>33</v>
      </c>
      <c r="M460" s="6">
        <v>37359</v>
      </c>
      <c r="N460" s="7" t="s">
        <v>39</v>
      </c>
    </row>
    <row x14ac:dyDescent="0.25" r="461" customHeight="1" ht="18.75">
      <c r="A461" s="6">
        <v>460</v>
      </c>
      <c r="B461" s="7" t="s">
        <v>695</v>
      </c>
      <c r="C461" s="6">
        <v>52</v>
      </c>
      <c r="D461" s="7" t="s">
        <v>47</v>
      </c>
      <c r="E461" s="6">
        <v>8</v>
      </c>
      <c r="F461" s="7" t="s">
        <v>932</v>
      </c>
      <c r="G461" s="7" t="s">
        <v>933</v>
      </c>
      <c r="H461" s="6">
        <v>2</v>
      </c>
      <c r="I461" s="8">
        <f>VLOOKUP(E461,diagnosis!$A$1:$B$11,2,FALSE)</f>
      </c>
      <c r="J461" s="8">
        <f>VLOOKUP(H461,outcomes!$A$1:$B$4,2,FALSE)</f>
      </c>
      <c r="K461" s="6">
        <f>G461-F461</f>
      </c>
      <c r="L461" s="7" t="s">
        <v>33</v>
      </c>
      <c r="M461" s="6">
        <v>33992</v>
      </c>
      <c r="N461" s="7" t="s">
        <v>39</v>
      </c>
    </row>
    <row x14ac:dyDescent="0.25" r="462" customHeight="1" ht="18.75">
      <c r="A462" s="6">
        <v>461</v>
      </c>
      <c r="B462" s="7" t="s">
        <v>650</v>
      </c>
      <c r="C462" s="6">
        <v>2</v>
      </c>
      <c r="D462" s="7" t="s">
        <v>47</v>
      </c>
      <c r="E462" s="6">
        <v>9</v>
      </c>
      <c r="F462" s="7" t="s">
        <v>531</v>
      </c>
      <c r="G462" s="7" t="s">
        <v>366</v>
      </c>
      <c r="H462" s="6">
        <v>1</v>
      </c>
      <c r="I462" s="8">
        <f>VLOOKUP(E462,diagnosis!$A$1:$B$11,2,FALSE)</f>
      </c>
      <c r="J462" s="8">
        <f>VLOOKUP(H462,outcomes!$A$1:$B$4,2,FALSE)</f>
      </c>
      <c r="K462" s="6">
        <f>G462-F462</f>
      </c>
      <c r="L462" s="7" t="s">
        <v>33</v>
      </c>
      <c r="M462" s="6">
        <v>30012</v>
      </c>
      <c r="N462" s="7" t="s">
        <v>50</v>
      </c>
    </row>
    <row x14ac:dyDescent="0.25" r="463" customHeight="1" ht="18.75">
      <c r="A463" s="6">
        <v>462</v>
      </c>
      <c r="B463" s="7" t="s">
        <v>831</v>
      </c>
      <c r="C463" s="6">
        <v>40</v>
      </c>
      <c r="D463" s="7" t="s">
        <v>30</v>
      </c>
      <c r="E463" s="6">
        <v>2</v>
      </c>
      <c r="F463" s="7" t="s">
        <v>435</v>
      </c>
      <c r="G463" s="7" t="s">
        <v>934</v>
      </c>
      <c r="H463" s="6">
        <v>2</v>
      </c>
      <c r="I463" s="8">
        <f>VLOOKUP(E463,diagnosis!$A$1:$B$11,2,FALSE)</f>
      </c>
      <c r="J463" s="8">
        <f>VLOOKUP(H463,outcomes!$A$1:$B$4,2,FALSE)</f>
      </c>
      <c r="K463" s="6">
        <f>G463-F463</f>
      </c>
      <c r="L463" s="7" t="s">
        <v>33</v>
      </c>
      <c r="M463" s="6">
        <v>33096</v>
      </c>
      <c r="N463" s="7" t="s">
        <v>39</v>
      </c>
    </row>
    <row x14ac:dyDescent="0.25" r="464" customHeight="1" ht="18.75">
      <c r="A464" s="6">
        <v>463</v>
      </c>
      <c r="B464" s="7" t="s">
        <v>304</v>
      </c>
      <c r="C464" s="6">
        <v>6</v>
      </c>
      <c r="D464" s="7" t="s">
        <v>47</v>
      </c>
      <c r="E464" s="6">
        <v>5</v>
      </c>
      <c r="F464" s="7" t="s">
        <v>729</v>
      </c>
      <c r="G464" s="7" t="s">
        <v>935</v>
      </c>
      <c r="H464" s="6">
        <v>2</v>
      </c>
      <c r="I464" s="8">
        <f>VLOOKUP(E464,diagnosis!$A$1:$B$11,2,FALSE)</f>
      </c>
      <c r="J464" s="8">
        <f>VLOOKUP(H464,outcomes!$A$1:$B$4,2,FALSE)</f>
      </c>
      <c r="K464" s="6">
        <f>G464-F464</f>
      </c>
      <c r="L464" s="7" t="s">
        <v>38</v>
      </c>
      <c r="M464" s="6">
        <v>14172</v>
      </c>
      <c r="N464" s="7" t="s">
        <v>50</v>
      </c>
    </row>
    <row x14ac:dyDescent="0.25" r="465" customHeight="1" ht="18.75">
      <c r="A465" s="6">
        <v>464</v>
      </c>
      <c r="B465" s="7" t="s">
        <v>936</v>
      </c>
      <c r="C465" s="6">
        <v>56</v>
      </c>
      <c r="D465" s="7" t="s">
        <v>30</v>
      </c>
      <c r="E465" s="6">
        <v>6</v>
      </c>
      <c r="F465" s="7" t="s">
        <v>466</v>
      </c>
      <c r="G465" s="7" t="s">
        <v>895</v>
      </c>
      <c r="H465" s="6">
        <v>2</v>
      </c>
      <c r="I465" s="8">
        <f>VLOOKUP(E465,diagnosis!$A$1:$B$11,2,FALSE)</f>
      </c>
      <c r="J465" s="8">
        <f>VLOOKUP(H465,outcomes!$A$1:$B$4,2,FALSE)</f>
      </c>
      <c r="K465" s="6">
        <f>G465-F465</f>
      </c>
      <c r="L465" s="7" t="s">
        <v>33</v>
      </c>
      <c r="M465" s="6">
        <v>34749</v>
      </c>
      <c r="N465" s="7" t="s">
        <v>34</v>
      </c>
    </row>
    <row x14ac:dyDescent="0.25" r="466" customHeight="1" ht="18.75">
      <c r="A466" s="6">
        <v>465</v>
      </c>
      <c r="B466" s="7" t="s">
        <v>636</v>
      </c>
      <c r="C466" s="6">
        <v>30</v>
      </c>
      <c r="D466" s="7" t="s">
        <v>30</v>
      </c>
      <c r="E466" s="6">
        <v>3</v>
      </c>
      <c r="F466" s="7" t="s">
        <v>937</v>
      </c>
      <c r="G466" s="7" t="s">
        <v>918</v>
      </c>
      <c r="H466" s="6">
        <v>1</v>
      </c>
      <c r="I466" s="8">
        <f>VLOOKUP(E466,diagnosis!$A$1:$B$11,2,FALSE)</f>
      </c>
      <c r="J466" s="8">
        <f>VLOOKUP(H466,outcomes!$A$1:$B$4,2,FALSE)</f>
      </c>
      <c r="K466" s="6">
        <f>G466-F466</f>
      </c>
      <c r="L466" s="7" t="s">
        <v>38</v>
      </c>
      <c r="M466" s="6">
        <v>4299</v>
      </c>
      <c r="N466" s="7" t="s">
        <v>39</v>
      </c>
    </row>
    <row x14ac:dyDescent="0.25" r="467" customHeight="1" ht="18.75">
      <c r="A467" s="6">
        <v>466</v>
      </c>
      <c r="B467" s="7" t="s">
        <v>216</v>
      </c>
      <c r="C467" s="6">
        <v>16</v>
      </c>
      <c r="D467" s="7" t="s">
        <v>47</v>
      </c>
      <c r="E467" s="6">
        <v>1</v>
      </c>
      <c r="F467" s="7" t="s">
        <v>204</v>
      </c>
      <c r="G467" s="7" t="s">
        <v>523</v>
      </c>
      <c r="H467" s="6">
        <v>2</v>
      </c>
      <c r="I467" s="8">
        <f>VLOOKUP(E467,diagnosis!$A$1:$B$11,2,FALSE)</f>
      </c>
      <c r="J467" s="8">
        <f>VLOOKUP(H467,outcomes!$A$1:$B$4,2,FALSE)</f>
      </c>
      <c r="K467" s="6">
        <f>G467-F467</f>
      </c>
      <c r="L467" s="7" t="s">
        <v>60</v>
      </c>
      <c r="M467" s="6">
        <v>16020</v>
      </c>
      <c r="N467" s="7" t="s">
        <v>34</v>
      </c>
    </row>
    <row x14ac:dyDescent="0.25" r="468" customHeight="1" ht="18.75">
      <c r="A468" s="6">
        <v>467</v>
      </c>
      <c r="B468" s="7" t="s">
        <v>700</v>
      </c>
      <c r="C468" s="6">
        <v>7</v>
      </c>
      <c r="D468" s="7" t="s">
        <v>30</v>
      </c>
      <c r="E468" s="6">
        <v>1</v>
      </c>
      <c r="F468" s="7" t="s">
        <v>480</v>
      </c>
      <c r="G468" s="7" t="s">
        <v>938</v>
      </c>
      <c r="H468" s="6">
        <v>1</v>
      </c>
      <c r="I468" s="8">
        <f>VLOOKUP(E468,diagnosis!$A$1:$B$11,2,FALSE)</f>
      </c>
      <c r="J468" s="8">
        <f>VLOOKUP(H468,outcomes!$A$1:$B$4,2,FALSE)</f>
      </c>
      <c r="K468" s="6">
        <f>G468-F468</f>
      </c>
      <c r="L468" s="7" t="s">
        <v>33</v>
      </c>
      <c r="M468" s="6">
        <v>67680</v>
      </c>
      <c r="N468" s="7" t="s">
        <v>50</v>
      </c>
    </row>
    <row x14ac:dyDescent="0.25" r="469" customHeight="1" ht="18.75">
      <c r="A469" s="6">
        <v>468</v>
      </c>
      <c r="B469" s="7" t="s">
        <v>591</v>
      </c>
      <c r="C469" s="6">
        <v>16</v>
      </c>
      <c r="D469" s="7" t="s">
        <v>47</v>
      </c>
      <c r="E469" s="6">
        <v>8</v>
      </c>
      <c r="F469" s="7" t="s">
        <v>503</v>
      </c>
      <c r="G469" s="7" t="s">
        <v>939</v>
      </c>
      <c r="H469" s="6">
        <v>3</v>
      </c>
      <c r="I469" s="8">
        <f>VLOOKUP(E469,diagnosis!$A$1:$B$11,2,FALSE)</f>
      </c>
      <c r="J469" s="8">
        <f>VLOOKUP(H469,outcomes!$A$1:$B$4,2,FALSE)</f>
      </c>
      <c r="K469" s="6">
        <f>G469-F469</f>
      </c>
      <c r="L469" s="7" t="s">
        <v>33</v>
      </c>
      <c r="M469" s="6">
        <v>55692</v>
      </c>
      <c r="N469" s="7" t="s">
        <v>34</v>
      </c>
    </row>
    <row x14ac:dyDescent="0.25" r="470" customHeight="1" ht="18.75">
      <c r="A470" s="6">
        <v>469</v>
      </c>
      <c r="B470" s="7" t="s">
        <v>940</v>
      </c>
      <c r="C470" s="6">
        <v>85</v>
      </c>
      <c r="D470" s="7" t="s">
        <v>30</v>
      </c>
      <c r="E470" s="6">
        <v>9</v>
      </c>
      <c r="F470" s="7" t="s">
        <v>645</v>
      </c>
      <c r="G470" s="7" t="s">
        <v>604</v>
      </c>
      <c r="H470" s="6">
        <v>2</v>
      </c>
      <c r="I470" s="8">
        <f>VLOOKUP(E470,diagnosis!$A$1:$B$11,2,FALSE)</f>
      </c>
      <c r="J470" s="8">
        <f>VLOOKUP(H470,outcomes!$A$1:$B$4,2,FALSE)</f>
      </c>
      <c r="K470" s="6">
        <f>G470-F470</f>
      </c>
      <c r="L470" s="7" t="s">
        <v>33</v>
      </c>
      <c r="M470" s="6">
        <v>52290</v>
      </c>
      <c r="N470" s="7" t="s">
        <v>34</v>
      </c>
    </row>
    <row x14ac:dyDescent="0.25" r="471" customHeight="1" ht="18.75">
      <c r="A471" s="6">
        <v>470</v>
      </c>
      <c r="B471" s="7" t="s">
        <v>577</v>
      </c>
      <c r="C471" s="6">
        <v>66</v>
      </c>
      <c r="D471" s="7" t="s">
        <v>30</v>
      </c>
      <c r="E471" s="6">
        <v>5</v>
      </c>
      <c r="F471" s="7" t="s">
        <v>508</v>
      </c>
      <c r="G471" s="7" t="s">
        <v>807</v>
      </c>
      <c r="H471" s="6">
        <v>1</v>
      </c>
      <c r="I471" s="8">
        <f>VLOOKUP(E471,diagnosis!$A$1:$B$11,2,FALSE)</f>
      </c>
      <c r="J471" s="8">
        <f>VLOOKUP(H471,outcomes!$A$1:$B$4,2,FALSE)</f>
      </c>
      <c r="K471" s="6">
        <f>G471-F471</f>
      </c>
      <c r="L471" s="7" t="s">
        <v>33</v>
      </c>
      <c r="M471" s="6">
        <v>12112</v>
      </c>
      <c r="N471" s="7" t="s">
        <v>50</v>
      </c>
    </row>
    <row x14ac:dyDescent="0.25" r="472" customHeight="1" ht="18.75">
      <c r="A472" s="6">
        <v>471</v>
      </c>
      <c r="B472" s="7" t="s">
        <v>941</v>
      </c>
      <c r="C472" s="6">
        <v>67</v>
      </c>
      <c r="D472" s="7" t="s">
        <v>30</v>
      </c>
      <c r="E472" s="6">
        <v>6</v>
      </c>
      <c r="F472" s="7" t="s">
        <v>506</v>
      </c>
      <c r="G472" s="7" t="s">
        <v>942</v>
      </c>
      <c r="H472" s="6">
        <v>3</v>
      </c>
      <c r="I472" s="8">
        <f>VLOOKUP(E472,diagnosis!$A$1:$B$11,2,FALSE)</f>
      </c>
      <c r="J472" s="8">
        <f>VLOOKUP(H472,outcomes!$A$1:$B$4,2,FALSE)</f>
      </c>
      <c r="K472" s="6">
        <f>G472-F472</f>
      </c>
      <c r="L472" s="7" t="s">
        <v>33</v>
      </c>
      <c r="M472" s="6">
        <v>29151</v>
      </c>
      <c r="N472" s="7" t="s">
        <v>39</v>
      </c>
    </row>
    <row x14ac:dyDescent="0.25" r="473" customHeight="1" ht="18.75">
      <c r="A473" s="6">
        <v>472</v>
      </c>
      <c r="B473" s="7" t="s">
        <v>943</v>
      </c>
      <c r="C473" s="6">
        <v>64</v>
      </c>
      <c r="D473" s="7" t="s">
        <v>30</v>
      </c>
      <c r="E473" s="6">
        <v>8</v>
      </c>
      <c r="F473" s="7" t="s">
        <v>944</v>
      </c>
      <c r="G473" s="7" t="s">
        <v>945</v>
      </c>
      <c r="H473" s="6">
        <v>2</v>
      </c>
      <c r="I473" s="8">
        <f>VLOOKUP(E473,diagnosis!$A$1:$B$11,2,FALSE)</f>
      </c>
      <c r="J473" s="8">
        <f>VLOOKUP(H473,outcomes!$A$1:$B$4,2,FALSE)</f>
      </c>
      <c r="K473" s="6">
        <f>G473-F473</f>
      </c>
      <c r="L473" s="7" t="s">
        <v>33</v>
      </c>
      <c r="M473" s="6">
        <v>65970</v>
      </c>
      <c r="N473" s="7" t="s">
        <v>39</v>
      </c>
    </row>
    <row x14ac:dyDescent="0.25" r="474" customHeight="1" ht="18.75">
      <c r="A474" s="6">
        <v>473</v>
      </c>
      <c r="B474" s="7" t="s">
        <v>946</v>
      </c>
      <c r="C474" s="6">
        <v>74</v>
      </c>
      <c r="D474" s="7" t="s">
        <v>47</v>
      </c>
      <c r="E474" s="6">
        <v>3</v>
      </c>
      <c r="F474" s="7" t="s">
        <v>947</v>
      </c>
      <c r="G474" s="7" t="s">
        <v>948</v>
      </c>
      <c r="H474" s="6">
        <v>1</v>
      </c>
      <c r="I474" s="8">
        <f>VLOOKUP(E474,diagnosis!$A$1:$B$11,2,FALSE)</f>
      </c>
      <c r="J474" s="8">
        <f>VLOOKUP(H474,outcomes!$A$1:$B$4,2,FALSE)</f>
      </c>
      <c r="K474" s="6">
        <f>G474-F474</f>
      </c>
      <c r="L474" s="7" t="s">
        <v>33</v>
      </c>
      <c r="M474" s="6">
        <v>18136</v>
      </c>
      <c r="N474" s="7" t="s">
        <v>39</v>
      </c>
    </row>
    <row x14ac:dyDescent="0.25" r="475" customHeight="1" ht="18.75">
      <c r="A475" s="6">
        <v>474</v>
      </c>
      <c r="B475" s="7" t="s">
        <v>949</v>
      </c>
      <c r="C475" s="6">
        <v>59</v>
      </c>
      <c r="D475" s="7" t="s">
        <v>47</v>
      </c>
      <c r="E475" s="6">
        <v>5</v>
      </c>
      <c r="F475" s="7" t="s">
        <v>950</v>
      </c>
      <c r="G475" s="7" t="s">
        <v>951</v>
      </c>
      <c r="H475" s="6">
        <v>2</v>
      </c>
      <c r="I475" s="8">
        <f>VLOOKUP(E475,diagnosis!$A$1:$B$11,2,FALSE)</f>
      </c>
      <c r="J475" s="8">
        <f>VLOOKUP(H475,outcomes!$A$1:$B$4,2,FALSE)</f>
      </c>
      <c r="K475" s="6">
        <f>G475-F475</f>
      </c>
      <c r="L475" s="7" t="s">
        <v>33</v>
      </c>
      <c r="M475" s="6">
        <v>29240</v>
      </c>
      <c r="N475" s="7" t="s">
        <v>39</v>
      </c>
    </row>
    <row x14ac:dyDescent="0.25" r="476" customHeight="1" ht="18.75">
      <c r="A476" s="6">
        <v>475</v>
      </c>
      <c r="B476" s="7" t="s">
        <v>638</v>
      </c>
      <c r="C476" s="6">
        <v>47</v>
      </c>
      <c r="D476" s="7" t="s">
        <v>47</v>
      </c>
      <c r="E476" s="6">
        <v>7</v>
      </c>
      <c r="F476" s="7" t="s">
        <v>944</v>
      </c>
      <c r="G476" s="7" t="s">
        <v>952</v>
      </c>
      <c r="H476" s="6">
        <v>3</v>
      </c>
      <c r="I476" s="8">
        <f>VLOOKUP(E476,diagnosis!$A$1:$B$11,2,FALSE)</f>
      </c>
      <c r="J476" s="8">
        <f>VLOOKUP(H476,outcomes!$A$1:$B$4,2,FALSE)</f>
      </c>
      <c r="K476" s="6">
        <f>G476-F476</f>
      </c>
      <c r="L476" s="7" t="s">
        <v>33</v>
      </c>
      <c r="M476" s="6">
        <v>26670</v>
      </c>
      <c r="N476" s="7" t="s">
        <v>50</v>
      </c>
    </row>
    <row x14ac:dyDescent="0.25" r="477" customHeight="1" ht="18.75">
      <c r="A477" s="6">
        <v>476</v>
      </c>
      <c r="B477" s="7" t="s">
        <v>666</v>
      </c>
      <c r="C477" s="6">
        <v>85</v>
      </c>
      <c r="D477" s="7" t="s">
        <v>30</v>
      </c>
      <c r="E477" s="6">
        <v>6</v>
      </c>
      <c r="F477" s="7" t="s">
        <v>953</v>
      </c>
      <c r="G477" s="7" t="s">
        <v>954</v>
      </c>
      <c r="H477" s="6">
        <v>2</v>
      </c>
      <c r="I477" s="8">
        <f>VLOOKUP(E477,diagnosis!$A$1:$B$11,2,FALSE)</f>
      </c>
      <c r="J477" s="8">
        <f>VLOOKUP(H477,outcomes!$A$1:$B$4,2,FALSE)</f>
      </c>
      <c r="K477" s="6">
        <f>G477-F477</f>
      </c>
      <c r="L477" s="7" t="s">
        <v>33</v>
      </c>
      <c r="M477" s="6">
        <v>23425</v>
      </c>
      <c r="N477" s="7" t="s">
        <v>39</v>
      </c>
    </row>
    <row x14ac:dyDescent="0.25" r="478" customHeight="1" ht="18.75">
      <c r="A478" s="6">
        <v>477</v>
      </c>
      <c r="B478" s="7" t="s">
        <v>309</v>
      </c>
      <c r="C478" s="6">
        <v>44</v>
      </c>
      <c r="D478" s="7" t="s">
        <v>30</v>
      </c>
      <c r="E478" s="6">
        <v>2</v>
      </c>
      <c r="F478" s="7" t="s">
        <v>327</v>
      </c>
      <c r="G478" s="7" t="s">
        <v>117</v>
      </c>
      <c r="H478" s="6">
        <v>2</v>
      </c>
      <c r="I478" s="8">
        <f>VLOOKUP(E478,diagnosis!$A$1:$B$11,2,FALSE)</f>
      </c>
      <c r="J478" s="8">
        <f>VLOOKUP(H478,outcomes!$A$1:$B$4,2,FALSE)</f>
      </c>
      <c r="K478" s="6">
        <f>G478-F478</f>
      </c>
      <c r="L478" s="7" t="s">
        <v>33</v>
      </c>
      <c r="M478" s="6">
        <v>58260</v>
      </c>
      <c r="N478" s="7" t="s">
        <v>50</v>
      </c>
    </row>
    <row x14ac:dyDescent="0.25" r="479" customHeight="1" ht="18.75">
      <c r="A479" s="6">
        <v>478</v>
      </c>
      <c r="B479" s="7" t="s">
        <v>206</v>
      </c>
      <c r="C479" s="6">
        <v>54</v>
      </c>
      <c r="D479" s="7" t="s">
        <v>30</v>
      </c>
      <c r="E479" s="6">
        <v>2</v>
      </c>
      <c r="F479" s="7" t="s">
        <v>213</v>
      </c>
      <c r="G479" s="7" t="s">
        <v>587</v>
      </c>
      <c r="H479" s="6">
        <v>1</v>
      </c>
      <c r="I479" s="8">
        <f>VLOOKUP(E479,diagnosis!$A$1:$B$11,2,FALSE)</f>
      </c>
      <c r="J479" s="8">
        <f>VLOOKUP(H479,outcomes!$A$1:$B$4,2,FALSE)</f>
      </c>
      <c r="K479" s="6">
        <f>G479-F479</f>
      </c>
      <c r="L479" s="7" t="s">
        <v>33</v>
      </c>
      <c r="M479" s="6">
        <v>73120</v>
      </c>
      <c r="N479" s="7" t="s">
        <v>39</v>
      </c>
    </row>
    <row x14ac:dyDescent="0.25" r="480" customHeight="1" ht="18.75">
      <c r="A480" s="6">
        <v>479</v>
      </c>
      <c r="B480" s="7" t="s">
        <v>912</v>
      </c>
      <c r="C480" s="6">
        <v>76</v>
      </c>
      <c r="D480" s="7" t="s">
        <v>47</v>
      </c>
      <c r="E480" s="6">
        <v>10</v>
      </c>
      <c r="F480" s="7" t="s">
        <v>108</v>
      </c>
      <c r="G480" s="7" t="s">
        <v>955</v>
      </c>
      <c r="H480" s="6">
        <v>3</v>
      </c>
      <c r="I480" s="8">
        <f>VLOOKUP(E480,diagnosis!$A$1:$B$11,2,FALSE)</f>
      </c>
      <c r="J480" s="8">
        <f>VLOOKUP(H480,outcomes!$A$1:$B$4,2,FALSE)</f>
      </c>
      <c r="K480" s="6">
        <f>G480-F480</f>
      </c>
      <c r="L480" s="7" t="s">
        <v>33</v>
      </c>
      <c r="M480" s="6">
        <v>44002</v>
      </c>
      <c r="N480" s="7" t="s">
        <v>34</v>
      </c>
    </row>
    <row x14ac:dyDescent="0.25" r="481" customHeight="1" ht="18.75">
      <c r="A481" s="6">
        <v>480</v>
      </c>
      <c r="B481" s="7" t="s">
        <v>463</v>
      </c>
      <c r="C481" s="6">
        <v>79</v>
      </c>
      <c r="D481" s="7" t="s">
        <v>30</v>
      </c>
      <c r="E481" s="6">
        <v>3</v>
      </c>
      <c r="F481" s="7" t="s">
        <v>956</v>
      </c>
      <c r="G481" s="7" t="s">
        <v>213</v>
      </c>
      <c r="H481" s="6">
        <v>2</v>
      </c>
      <c r="I481" s="8">
        <f>VLOOKUP(E481,diagnosis!$A$1:$B$11,2,FALSE)</f>
      </c>
      <c r="J481" s="8">
        <f>VLOOKUP(H481,outcomes!$A$1:$B$4,2,FALSE)</f>
      </c>
      <c r="K481" s="6">
        <f>G481-F481</f>
      </c>
      <c r="L481" s="7" t="s">
        <v>33</v>
      </c>
      <c r="M481" s="6">
        <v>27636</v>
      </c>
      <c r="N481" s="7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4" width="10.43357142857143" customWidth="1" bestFit="1"/>
    <col min="2" max="2" style="5" width="13.719285714285713" customWidth="1" bestFit="1"/>
  </cols>
  <sheetData>
    <row x14ac:dyDescent="0.25" r="1" customHeight="1" ht="18.75">
      <c r="A1" s="1" t="s">
        <v>5</v>
      </c>
      <c r="B1" s="2" t="s">
        <v>6</v>
      </c>
    </row>
    <row x14ac:dyDescent="0.25" r="2" customHeight="1" ht="18.75">
      <c r="A2" s="3">
        <v>1</v>
      </c>
      <c r="B2" s="2" t="s">
        <v>7</v>
      </c>
    </row>
    <row x14ac:dyDescent="0.25" r="3" customHeight="1" ht="18.75">
      <c r="A3" s="3">
        <v>2</v>
      </c>
      <c r="B3" s="2" t="s">
        <v>8</v>
      </c>
    </row>
    <row x14ac:dyDescent="0.25" r="4" customHeight="1" ht="18.75">
      <c r="A4" s="3">
        <v>3</v>
      </c>
      <c r="B4" s="2" t="s">
        <v>9</v>
      </c>
    </row>
    <row x14ac:dyDescent="0.25" r="5" customHeight="1" ht="18.75">
      <c r="A5" s="3">
        <v>4</v>
      </c>
      <c r="B5" s="2" t="s">
        <v>10</v>
      </c>
    </row>
    <row x14ac:dyDescent="0.25" r="6" customHeight="1" ht="18.75">
      <c r="A6" s="3">
        <v>5</v>
      </c>
      <c r="B6" s="2" t="s">
        <v>11</v>
      </c>
    </row>
    <row x14ac:dyDescent="0.25" r="7" customHeight="1" ht="18.75">
      <c r="A7" s="3">
        <v>6</v>
      </c>
      <c r="B7" s="2" t="s">
        <v>12</v>
      </c>
    </row>
    <row x14ac:dyDescent="0.25" r="8" customHeight="1" ht="18.75">
      <c r="A8" s="3">
        <v>7</v>
      </c>
      <c r="B8" s="2" t="s">
        <v>13</v>
      </c>
    </row>
    <row x14ac:dyDescent="0.25" r="9" customHeight="1" ht="18.75">
      <c r="A9" s="3">
        <v>8</v>
      </c>
      <c r="B9" s="2" t="s">
        <v>14</v>
      </c>
    </row>
    <row x14ac:dyDescent="0.25" r="10" customHeight="1" ht="18.75">
      <c r="A10" s="3">
        <v>9</v>
      </c>
      <c r="B10" s="2" t="s">
        <v>15</v>
      </c>
    </row>
    <row x14ac:dyDescent="0.25" r="11" customHeight="1" ht="18.75">
      <c r="A11" s="3">
        <v>10</v>
      </c>
      <c r="B11" s="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4" width="10.290714285714287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2" t="s">
        <v>2</v>
      </c>
    </row>
    <row x14ac:dyDescent="0.25" r="3" customHeight="1" ht="18.75">
      <c r="A3" s="3">
        <v>2</v>
      </c>
      <c r="B3" s="2" t="s">
        <v>3</v>
      </c>
    </row>
    <row x14ac:dyDescent="0.25" r="4" customHeight="1" ht="18.75">
      <c r="A4" s="3">
        <v>3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Patients by Outcome</vt:lpstr>
      <vt:lpstr>Payment Method Analysis</vt:lpstr>
      <vt:lpstr>patients</vt:lpstr>
      <vt:lpstr>diagnosis</vt:lpstr>
      <vt:lpstr>outcomes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2026-03-10T06:39:35.967Z</dcterms:created>
  <dcterms:modified xsi:type="dcterms:W3CDTF">2026-03-10T06:39:35.968Z</dcterms:modified>
</cp:coreProperties>
</file>